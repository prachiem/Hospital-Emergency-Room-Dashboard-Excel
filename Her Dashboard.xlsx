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Data Analyst\excel\HER\"/>
    </mc:Choice>
  </mc:AlternateContent>
  <xr:revisionPtr revIDLastSave="0" documentId="13_ncr:1_{C451210E-F309-42E5-9B0B-E3DEF56DAA31}" xr6:coauthVersionLast="47" xr6:coauthVersionMax="47" xr10:uidLastSave="{00000000-0000-0000-0000-000000000000}"/>
  <bookViews>
    <workbookView xWindow="-108" yWindow="-108" windowWidth="23256" windowHeight="12456" activeTab="1" xr2:uid="{ECF8C169-3253-4A77-A6D7-7F381533C81F}"/>
  </bookViews>
  <sheets>
    <sheet name="PivotReport" sheetId="1" r:id="rId1"/>
    <sheet name="Dashboard" sheetId="2" r:id="rId2"/>
    <sheet name="Average Patient Satisfaction sc" sheetId="5" r:id="rId3"/>
    <sheet name="Average WaitTime Daily Trend" sheetId="4" r:id="rId4"/>
    <sheet name="Daily ER No.of Patients" sheetId="3"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92e3b06f-79a5-4b8e-8fd9-4e167d55d9b5" name="Hospital Emergency Room Data" connection="Query - Hospital Emergency Room Data"/>
          <x15:modelTable id="CalenderTable_21fd3dab-a094-4c40-bf50-7d0753f8cdf9" name="CalenderTable" connection="Query - CalenderTable"/>
        </x15:modelTables>
        <x15:modelRelationships>
          <x15:modelRelationship fromTable="Hospital Emergency Room Data" fromColumn="Patient Admission Date" toTable="CalenderTable" toColumn="Date"/>
        </x15:modelRelationships>
        <x15:extLst>
          <ext xmlns:x16="http://schemas.microsoft.com/office/spreadsheetml/2014/11/main" uri="{9835A34E-60A6-4A7C-AAB8-D5F71C897F49}">
            <x16:modelTimeGroupings>
              <x16:modelTimeGrouping tableName="Calender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6" i="1" l="1"/>
  <c r="A45" i="1"/>
  <c r="C46" i="1"/>
  <c r="C45" i="1"/>
  <c r="B46" i="1"/>
  <c r="B45" i="1"/>
  <c r="A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037BAF-063C-48C5-A1F9-1C46FAC1621A}" name="Query - CalenderTable" description="Connection to the 'CalenderTable' query in the workbook." type="100" refreshedVersion="8" minRefreshableVersion="5">
    <extLst>
      <ext xmlns:x15="http://schemas.microsoft.com/office/spreadsheetml/2010/11/main" uri="{DE250136-89BD-433C-8126-D09CA5730AF9}">
        <x15:connection id="4d334f4e-4dab-49be-8b5d-4c068c6e11a1"/>
      </ext>
    </extLst>
  </connection>
  <connection id="2" xr16:uid="{70A3C6A4-50FB-44EA-B989-13745B921F47}"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c1c0c5c0-0667-4a1b-92b1-2b3c96624889"/>
      </ext>
    </extLst>
  </connection>
  <connection id="3" xr16:uid="{DA0A09FD-0FFE-4E4C-824A-EA555648B8D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<sst xmlns="http://schemas.openxmlformats.org/spreadsheetml/2006/main" count="153" uniqueCount="76">
  <si>
    <t>Distinct Count of Patient Id</t>
  </si>
  <si>
    <t>No. of Patient</t>
  </si>
  <si>
    <t>Average of Patient Waittime</t>
  </si>
  <si>
    <t>Average of Patient Satisfaction Score</t>
  </si>
  <si>
    <t>Row Labels</t>
  </si>
  <si>
    <t>Grand Total</t>
  </si>
  <si>
    <t>2024</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</si>
  <si>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</si>
  <si>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</si>
  <si>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</si>
  <si>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</si>
  <si>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</si>
  <si>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</si>
  <si>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</si>
  <si>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</si>
  <si>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</si>
  <si>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</si>
  <si>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</si>
  <si>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</si>
  <si>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</si>
  <si>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</si>
  <si>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</si>
  <si>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</si>
  <si>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</si>
  <si>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</si>
  <si>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</si>
  <si>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</si>
  <si>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</si>
  <si>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</si>
  <si>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</si>
  <si>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</si>
  <si>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</si>
  <si>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</si>
  <si>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</si>
  <si>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</si>
  <si>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</si>
  <si>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</si>
  <si>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Showing a daily trend with an area sparkline to spot patterns like busy days or seasonal trends</t>
  </si>
  <si>
    <t>Daily Trends of No. of Patients</t>
  </si>
  <si>
    <t>Avg. Wait Time</t>
  </si>
  <si>
    <t>Use an area chart to track daily changes and highlight days with longer wait times that might  need  improvements</t>
  </si>
  <si>
    <t>Satisfaction score daily trend</t>
  </si>
  <si>
    <t>Use an area chart to show trends, spot drops in satisfaction, and link them to busy times or challenges</t>
  </si>
  <si>
    <t>Count of Patient Attend Status</t>
  </si>
  <si>
    <t>Count of Patient Admission Flag</t>
  </si>
  <si>
    <t>Admitted</t>
  </si>
  <si>
    <t>Not Admitted</t>
  </si>
  <si>
    <t>Count of Patient Admission Flag2</t>
  </si>
  <si>
    <t>Admission Status</t>
  </si>
  <si>
    <t>% Status</t>
  </si>
  <si>
    <t>0-9</t>
  </si>
  <si>
    <t>10-19</t>
  </si>
  <si>
    <t>20-29</t>
  </si>
  <si>
    <t>30-39</t>
  </si>
  <si>
    <t>40-49</t>
  </si>
  <si>
    <t>50-59</t>
  </si>
  <si>
    <t>60-69</t>
  </si>
  <si>
    <t>70-79</t>
  </si>
  <si>
    <t>Count of Age Group</t>
  </si>
  <si>
    <t>Age Group Wise Analysis</t>
  </si>
  <si>
    <t>On Time</t>
  </si>
  <si>
    <t>Delay</t>
  </si>
  <si>
    <t>Attended within time</t>
  </si>
  <si>
    <t>Count of Patient Gender</t>
  </si>
  <si>
    <t>Female</t>
  </si>
  <si>
    <t>Male</t>
  </si>
  <si>
    <t xml:space="preserve">Gender </t>
  </si>
  <si>
    <t>Cardiology</t>
  </si>
  <si>
    <t>Gastroenterology</t>
  </si>
  <si>
    <t>General Practice</t>
  </si>
  <si>
    <t>None</t>
  </si>
  <si>
    <t>Orthopedics</t>
  </si>
  <si>
    <t>Physiotherapy</t>
  </si>
  <si>
    <t>Renal</t>
  </si>
  <si>
    <t>Neurology</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</si>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</sst>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sz val="11"/>
      <color rgb="FFE5F692"/>
      <name val="Calibri"/>
      <family val="2"/>
      <scheme val="minor"/>
    </font>
    <font>
      <sz val="11"/>
      <color theme="0"/>
      <name val="Calibri"/>
      <family val="2"/>
      <scheme val="minor"/>
    </font>
    <font>
      <sz val="12"/>
      <color theme="1"/>
      <name val="Arial"/>
      <family val="2"/>
    </font>
    <font>
      <sz val="12"/>
      <color theme="1"/>
      <name val="Calibri"/>
      <family val="2"/>
      <scheme val="minor"/>
    </font>
    <font>
      <sz val="11"/>
      <color rgb="FFF1FAC2"/>
      <name val="Calibri"/>
      <family val="2"/>
      <scheme val="minor"/>
    </font>
    <font>
      <sz val="10"/>
      <color rgb="FFF1FAC2"/>
      <name val="Calibri"/>
      <family val="2"/>
      <scheme val="minor"/>
    </font>
    <font>
      <sz val="10"/>
      <color theme="7" tint="-0.499984740745262"/>
      <name val="Calibri"/>
      <family val="2"/>
      <scheme val="minor"/>
    </font>
  </fonts>
  <fills count="5">
    <fill>
      <patternFill patternType="none"/>
    </fill>
    <fill>
      <patternFill patternType="gray125"/>
    </fill>
    <fill>
      <patternFill patternType="solid">
        <fgColor rgb="FFE5F692"/>
        <bgColor indexed="64"/>
      </patternFill>
    </fill>
    <fill>
      <patternFill patternType="solid">
        <fgColor rgb="FFF4F78D"/>
        <bgColor indexed="64"/>
      </patternFill>
    </fill>
    <fill>
      <patternFill patternType="solid">
        <fgColor theme="7" tint="-0.499984740745262"/>
        <bgColor indexed="64"/>
      </patternFill>
    </fill>
  </fills>
  <borders count="1">
    <border>
      <left/>
      <right/>
      <top/>
      <bottom/>
      <diagonal/>
    </border>
  </borders>
  <cellStyleXfs count="1">
    <xf numFmtId="0" fontId="0" fillId="0" borderId="0"/>
  </cellStyleXfs>
  <cellXfs count="16">
    <xf numFmtId="0" fontId="0" fillId="0" borderId="0" xfId="0"/>
    <xf numFmtId="2" fontId="0" fillId="0" borderId="0" xfId="0" applyNumberFormat="1"/>
    <xf numFmtId="0" fontId="1" fillId="2" borderId="0" xfId="0" applyFont="1" applyFill="1"/>
    <xf numFmtId="0" fontId="0" fillId="2" borderId="0" xfId="0" applyFill="1"/>
    <xf numFmtId="0" fontId="0" fillId="0" borderId="0" xfId="0" pivotButton="1"/>
    <xf numFmtId="0" fontId="0" fillId="0" borderId="0" xfId="0" applyAlignment="1">
      <alignment horizontal="left"/>
    </xf>
    <xf numFmtId="0" fontId="3" fillId="0" borderId="0" xfId="0" applyFont="1"/>
    <xf numFmtId="0" fontId="4" fillId="0" borderId="0" xfId="0" applyFont="1"/>
    <xf numFmtId="1" fontId="0" fillId="0" borderId="0" xfId="0" applyNumberFormat="1"/>
    <xf numFmtId="10" fontId="0" fillId="0" borderId="0" xfId="0" applyNumberFormat="1"/>
    <xf numFmtId="0" fontId="2" fillId="3" borderId="0" xfId="0" applyFont="1" applyFill="1"/>
    <xf numFmtId="10" fontId="5" fillId="4" borderId="0" xfId="0" applyNumberFormat="1" applyFont="1" applyFill="1"/>
    <xf numFmtId="0" fontId="7" fillId="3" borderId="0" xfId="0" applyFont="1" applyFill="1" applyAlignment="1">
      <alignment horizontal="center"/>
    </xf>
    <xf numFmtId="0" fontId="6" fillId="4" borderId="0" xfId="0" applyFont="1" applyFill="1" applyAlignment="1">
      <alignment horizontal="center"/>
    </xf>
    <xf numFmtId="1" fontId="6" fillId="4" borderId="0" xfId="0" applyNumberFormat="1" applyFont="1" applyFill="1" applyAlignment="1">
      <alignment horizontal="center"/>
    </xf>
    <xf numFmtId="9" fontId="6" fillId="4" borderId="0" xfId="0" applyNumberFormat="1" applyFont="1" applyFill="1" applyAlignment="1">
      <alignment horizontal="center"/>
    </xf>
  </cellXfs>
  <cellStyles count="1">
    <cellStyle name="Normal" xfId="0" builtinId="0"/>
  </cellStyles>
  <dxfs count="15">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2" formatCode="0.00"/>
    </dxf>
    <dxf>
      <font>
        <b/>
        <color theme="1"/>
      </font>
      <border>
        <bottom style="thin">
          <color theme="7"/>
        </bottom>
        <vertical/>
        <horizontal/>
      </border>
    </dxf>
    <dxf>
      <font>
        <color theme="1"/>
      </font>
      <fill>
        <patternFill>
          <bgColor theme="7" tint="-0.499984740745262"/>
        </patternFill>
      </fill>
      <border diagonalUp="0" diagonalDown="0">
        <left/>
        <right/>
        <top/>
        <bottom/>
        <vertical/>
        <horizontal/>
      </border>
    </dxf>
  </dxfs>
  <tableStyles count="1" defaultTableStyle="TableStyleMedium2" defaultPivotStyle="PivotStyleLight16">
    <tableStyle name="Mystyle" pivot="0" table="0" count="10" xr9:uid="{D63E776A-B018-43C5-BD75-CBEBD79DDD62}">
      <tableStyleElement type="wholeTable" dxfId="14"/>
      <tableStyleElement type="headerRow" dxfId="13"/>
    </tableStyle>
  </tableStyles>
  <colors>
    <mruColors>
      <color rgb="FFFFFFCC"/>
      <color rgb="FFF4F78D"/>
      <color rgb="FFF1FAC2"/>
      <color rgb="FF483700"/>
      <color rgb="FFF0FCB6"/>
      <color rgb="FFDACC10"/>
      <color rgb="FF9A411E"/>
      <color rgb="FFC5903B"/>
      <color rgb="FFFFFF69"/>
      <color rgb="FFFFFF99"/>
    </mruColors>
  </colors>
  <extLst>
    <ext xmlns:x14="http://schemas.microsoft.com/office/spreadsheetml/2009/9/main" uri="{46F421CA-312F-682f-3DD2-61675219B42D}">
      <x14:dxfs count="8">
        <dxf>
          <font>
            <color rgb="FF000000"/>
          </font>
          <fill>
            <patternFill patternType="solid">
              <fgColor auto="1"/>
              <bgColor theme="8" tint="0.7999816888943144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79998168889431442"/>
            </patternFill>
          </fill>
          <border diagonalUp="0" diagonalDown="0">
            <left/>
            <right/>
            <top/>
            <bottom/>
            <vertical/>
            <horizontal/>
          </border>
        </dxf>
        <dxf>
          <font>
            <color rgb="FF000000"/>
          </font>
          <fill>
            <patternFill patternType="solid">
              <fgColor auto="1"/>
              <bgColor theme="8" tint="0.599963377788628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diagonalUp="0" diagonalDown="0">
            <left/>
            <right/>
            <top/>
            <bottom/>
            <vertical/>
            <horizontal/>
          </border>
        </dxf>
        <dxf>
          <font>
            <color rgb="FF000000"/>
          </font>
          <fill>
            <patternFill patternType="solid">
              <fgColor theme="7" tint="0.59999389629810485"/>
              <bgColor theme="9" tint="0.3999450666829432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[Her Dashboard.xlsx]PivotReport!PivotTable7</c:name>
    <c:fmtId val="0"/>
  </c:pivotSource>
  <c:chart>
    <c:autoTitleDeleted val="0"/>
    <c:pivotFmts>
      <c:pivotFmt>
        <c:idx val="0"/>
        <c:spPr>
          <a:solidFill>
            <a:srgbClr val="F1FAC2"/>
          </a:solidFill>
          <a:ln w="9525" cap="flat" cmpd="sng" algn="ctr">
            <a:noFill/>
            <a:round/>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650" b="0" i="0" u="none" strike="noStrike" kern="1200" baseline="0">
                  <a:solidFill>
                    <a:srgbClr val="F1FAC2"/>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1FAC2"/>
          </a:solidFill>
          <a:ln w="9525" cap="flat" cmpd="sng" algn="ctr">
            <a:noFill/>
            <a:round/>
          </a:ln>
          <a:effectLst/>
        </c:spPr>
        <c:dLbl>
          <c:idx val="0"/>
          <c:layout>
            <c:manualLayout>
              <c:x val="1.8390796275319665E-3"/>
              <c:y val="-7.6388863826926043E-3"/>
            </c:manualLayout>
          </c:layout>
          <c:spPr>
            <a:noFill/>
            <a:ln>
              <a:noFill/>
            </a:ln>
            <a:effectLst/>
          </c:spPr>
          <c:txPr>
            <a:bodyPr rot="0" spcFirstLastPara="1" vertOverflow="ellipsis" vert="horz" wrap="none" lIns="38100" tIns="19050" rIns="38100" bIns="19050" anchor="ctr" anchorCtr="1">
              <a:spAutoFit/>
            </a:bodyPr>
            <a:lstStyle/>
            <a:p>
              <a:pPr>
                <a:defRPr sz="650" b="0" i="0" u="none" strike="noStrike" kern="1200" baseline="0">
                  <a:solidFill>
                    <a:srgbClr val="F1FAC2"/>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3"/>
        <c:spPr>
          <a:solidFill>
            <a:srgbClr val="F1FAC2"/>
          </a:solidFill>
          <a:ln w="9525" cap="flat" cmpd="sng" algn="ctr">
            <a:noFill/>
            <a:round/>
          </a:ln>
          <a:effectLst/>
        </c:spPr>
        <c:dLbl>
          <c:idx val="0"/>
          <c:layout>
            <c:manualLayout>
              <c:x val="1.3333327299607522E-2"/>
              <c:y val="-1.4004463254181817E-16"/>
            </c:manualLayout>
          </c:layout>
          <c:spPr>
            <a:noFill/>
            <a:ln>
              <a:noFill/>
            </a:ln>
            <a:effectLst/>
          </c:spPr>
          <c:txPr>
            <a:bodyPr rot="0" spcFirstLastPara="1" vertOverflow="ellipsis" vert="horz" wrap="none" lIns="38100" tIns="19050" rIns="38100" bIns="19050" anchor="ctr" anchorCtr="1">
              <a:spAutoFit/>
            </a:bodyPr>
            <a:lstStyle/>
            <a:p>
              <a:pPr>
                <a:defRPr sz="650" b="0" i="0" u="none" strike="noStrike" kern="1200" baseline="0">
                  <a:solidFill>
                    <a:srgbClr val="F1FAC2"/>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4"/>
        <c:dLbl>
          <c:idx val="0"/>
          <c:layout>
            <c:manualLayout>
              <c:x val="0.35219731890600747"/>
              <c:y val="8.429073001081841E-2"/>
            </c:manualLayout>
          </c:layout>
          <c:spPr>
            <a:noFill/>
            <a:ln>
              <a:noFill/>
            </a:ln>
            <a:effectLst/>
          </c:spPr>
          <c:txPr>
            <a:bodyPr wrap="square" lIns="38100" tIns="19050" rIns="38100" bIns="19050" anchor="ctr">
              <a:spAutoFit/>
            </a:bodyPr>
            <a:lstStyle/>
            <a:p>
              <a:pPr>
                <a:defRPr>
                  <a:solidFill>
                    <a:srgbClr val="FFFFCC"/>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5628360669995538"/>
                  <c:h val="0.3204109670867929"/>
                </c:manualLayout>
              </c15:layout>
            </c:ext>
          </c:extLst>
        </c:dLbl>
      </c:pivotFmt>
      <c:pivotFmt>
        <c:idx val="5"/>
        <c:dLbl>
          <c:idx val="0"/>
          <c:layout>
            <c:manualLayout>
              <c:x val="0.35230805233791002"/>
              <c:y val="8.429073001081841E-2"/>
            </c:manualLayout>
          </c:layout>
          <c:tx>
            <c:rich>
              <a:bodyPr wrap="none" lIns="38100" tIns="19050" rIns="38100" bIns="19050" anchor="ctr">
                <a:spAutoFit/>
              </a:bodyPr>
              <a:lstStyle/>
              <a:p>
                <a:pPr>
                  <a:defRPr/>
                </a:pPr>
                <a:fld id="{84D57E3A-81A2-4B9D-8590-C8AEA269EF85}" type="VALUE">
                  <a:rPr lang="en-US">
                    <a:solidFill>
                      <a:srgbClr val="FFFFCC"/>
                    </a:solidFill>
                  </a:rPr>
                  <a:pPr>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layout>
                <c:manualLayout>
                  <c:w val="0.3537991430039335"/>
                  <c:h val="0.3204109670867929"/>
                </c:manualLayout>
              </c15:layout>
              <c15:dlblFieldTable/>
              <c15:showDataLabelsRange val="0"/>
            </c:ext>
          </c:extLst>
        </c:dLbl>
      </c:pivotFmt>
    </c:pivotFmts>
    <c:plotArea>
      <c:layout/>
      <c:barChart>
        <c:barDir val="bar"/>
        <c:grouping val="clustered"/>
        <c:varyColors val="0"/>
        <c:ser>
          <c:idx val="0"/>
          <c:order val="0"/>
          <c:tx>
            <c:strRef>
              <c:f>PivotReport!$B$37</c:f>
              <c:strCache>
                <c:ptCount val="1"/>
                <c:pt idx="0">
                  <c:v>Count of Patient Admission Flag</c:v>
                </c:pt>
              </c:strCache>
            </c:strRef>
          </c:tx>
          <c:spPr>
            <a:solidFill>
              <a:srgbClr val="F1FAC2"/>
            </a:solidFill>
            <a:ln w="9525" cap="flat" cmpd="sng" algn="ctr">
              <a:noFill/>
              <a:round/>
            </a:ln>
            <a:effectLst/>
          </c:spPr>
          <c:invertIfNegative val="0"/>
          <c:dPt>
            <c:idx val="0"/>
            <c:invertIfNegative val="0"/>
            <c:bubble3D val="0"/>
            <c:extLst>
              <c:ext xmlns:c16="http://schemas.microsoft.com/office/drawing/2014/chart" uri="{C3380CC4-5D6E-409C-BE32-E72D297353CC}">
                <c16:uniqueId val="{00000000-3F7E-4992-B1D5-0A29695D5DB0}"/>
              </c:ext>
            </c:extLst>
          </c:dPt>
          <c:dPt>
            <c:idx val="1"/>
            <c:invertIfNegative val="0"/>
            <c:bubble3D val="0"/>
            <c:extLst>
              <c:ext xmlns:c16="http://schemas.microsoft.com/office/drawing/2014/chart" uri="{C3380CC4-5D6E-409C-BE32-E72D297353CC}">
                <c16:uniqueId val="{00000001-3F7E-4992-B1D5-0A29695D5DB0}"/>
              </c:ext>
            </c:extLst>
          </c:dPt>
          <c:dLbls>
            <c:dLbl>
              <c:idx val="0"/>
              <c:layout>
                <c:manualLayout>
                  <c:x val="1.3333327299607522E-2"/>
                  <c:y val="-1.4004463254181817E-16"/>
                </c:manualLayout>
              </c:layout>
              <c:spPr>
                <a:noFill/>
                <a:ln>
                  <a:noFill/>
                </a:ln>
                <a:effectLst/>
              </c:spPr>
              <c:txPr>
                <a:bodyPr rot="0" spcFirstLastPara="1" vertOverflow="ellipsis" vert="horz" wrap="none" lIns="38100" tIns="19050" rIns="38100" bIns="19050" anchor="ctr" anchorCtr="1">
                  <a:spAutoFit/>
                </a:bodyPr>
                <a:lstStyle/>
                <a:p>
                  <a:pPr>
                    <a:defRPr sz="650" b="0" i="0" u="none" strike="noStrike" kern="1200" baseline="0">
                      <a:solidFill>
                        <a:srgbClr val="F1FAC2"/>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 xmlns:c16="http://schemas.microsoft.com/office/drawing/2014/chart" uri="{C3380CC4-5D6E-409C-BE32-E72D297353CC}">
                  <c16:uniqueId val="{00000000-3F7E-4992-B1D5-0A29695D5DB0}"/>
                </c:ext>
              </c:extLst>
            </c:dLbl>
            <c:dLbl>
              <c:idx val="1"/>
              <c:layout>
                <c:manualLayout>
                  <c:x val="1.8390796275319665E-3"/>
                  <c:y val="-7.6388863826926043E-3"/>
                </c:manualLayout>
              </c:layout>
              <c:spPr>
                <a:noFill/>
                <a:ln>
                  <a:noFill/>
                </a:ln>
                <a:effectLst/>
              </c:spPr>
              <c:txPr>
                <a:bodyPr rot="0" spcFirstLastPara="1" vertOverflow="ellipsis" vert="horz" wrap="none" lIns="38100" tIns="19050" rIns="38100" bIns="19050" anchor="ctr" anchorCtr="1">
                  <a:spAutoFit/>
                </a:bodyPr>
                <a:lstStyle/>
                <a:p>
                  <a:pPr>
                    <a:defRPr sz="650" b="0" i="0" u="none" strike="noStrike" kern="1200" baseline="0">
                      <a:solidFill>
                        <a:srgbClr val="F1FAC2"/>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 xmlns:c16="http://schemas.microsoft.com/office/drawing/2014/chart" uri="{C3380CC4-5D6E-409C-BE32-E72D297353CC}">
                  <c16:uniqueId val="{00000001-3F7E-4992-B1D5-0A29695D5DB0}"/>
                </c:ext>
              </c:extLst>
            </c:dLbl>
            <c:spPr>
              <a:noFill/>
              <a:ln>
                <a:noFill/>
              </a:ln>
              <a:effectLst/>
            </c:spPr>
            <c:txPr>
              <a:bodyPr rot="0" spcFirstLastPara="1" vertOverflow="ellipsis" vert="horz" wrap="none" lIns="38100" tIns="19050" rIns="38100" bIns="19050" anchor="ctr" anchorCtr="1">
                <a:spAutoFit/>
              </a:bodyPr>
              <a:lstStyle/>
              <a:p>
                <a:pPr>
                  <a:defRPr sz="650" b="0" i="0" u="none" strike="noStrike" kern="1200" baseline="0">
                    <a:solidFill>
                      <a:srgbClr val="F1FAC2"/>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cat>
            <c:strRef>
              <c:f>PivotReport!$A$38:$A$40</c:f>
              <c:strCache>
                <c:ptCount val="2"/>
                <c:pt idx="0">
                  <c:v>Admitted</c:v>
                </c:pt>
                <c:pt idx="1">
                  <c:v>Not Admitted</c:v>
                </c:pt>
              </c:strCache>
            </c:strRef>
          </c:cat>
          <c:val>
            <c:numRef>
              <c:f>PivotReport!$B$38:$B$40</c:f>
              <c:numCache>
                <c:formatCode>0</c:formatCode>
                <c:ptCount val="2"/>
                <c:pt idx="0">
                  <c:v>217</c:v>
                </c:pt>
                <c:pt idx="1">
                  <c:v>252</c:v>
                </c:pt>
              </c:numCache>
            </c:numRef>
          </c:val>
          <c:extLst>
            <c:ext xmlns:c16="http://schemas.microsoft.com/office/drawing/2014/chart" uri="{C3380CC4-5D6E-409C-BE32-E72D297353CC}">
              <c16:uniqueId val="{0000000B-B7EA-408C-B456-13E2689D45EF}"/>
            </c:ext>
          </c:extLst>
        </c:ser>
        <c:ser>
          <c:idx val="1"/>
          <c:order val="1"/>
          <c:tx>
            <c:strRef>
              <c:f>PivotReport!$C$37</c:f>
              <c:strCache>
                <c:ptCount val="1"/>
                <c:pt idx="0">
                  <c:v>Count of Patient Admission Flag2</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dLbl>
              <c:idx val="0"/>
              <c:layout>
                <c:manualLayout>
                  <c:x val="0.35230805233791002"/>
                  <c:y val="8.429073001081841E-2"/>
                </c:manualLayout>
              </c:layout>
              <c:tx>
                <c:rich>
                  <a:bodyPr wrap="none" lIns="38100" tIns="19050" rIns="38100" bIns="19050" anchor="ctr">
                    <a:spAutoFit/>
                  </a:bodyPr>
                  <a:lstStyle/>
                  <a:p>
                    <a:pPr>
                      <a:defRPr/>
                    </a:pPr>
                    <a:fld id="{84D57E3A-81A2-4B9D-8590-C8AEA269EF85}" type="VALUE">
                      <a:rPr lang="en-US">
                        <a:solidFill>
                          <a:srgbClr val="FFFFCC"/>
                        </a:solidFill>
                      </a:rPr>
                      <a:pPr>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layout>
                    <c:manualLayout>
                      <c:w val="0.3537991430039335"/>
                      <c:h val="0.3204109670867929"/>
                    </c:manualLayout>
                  </c15:layout>
                  <c15:dlblFieldTable/>
                  <c15:showDataLabelsRange val="0"/>
                </c:ext>
                <c:ext xmlns:c16="http://schemas.microsoft.com/office/drawing/2014/chart" uri="{C3380CC4-5D6E-409C-BE32-E72D297353CC}">
                  <c16:uniqueId val="{00000003-3F7E-4992-B1D5-0A29695D5DB0}"/>
                </c:ext>
              </c:extLst>
            </c:dLbl>
            <c:dLbl>
              <c:idx val="1"/>
              <c:layout>
                <c:manualLayout>
                  <c:x val="0.35219731890600747"/>
                  <c:y val="8.429073001081841E-2"/>
                </c:manualLayout>
              </c:layout>
              <c:spPr>
                <a:noFill/>
                <a:ln>
                  <a:noFill/>
                </a:ln>
                <a:effectLst/>
              </c:spPr>
              <c:txPr>
                <a:bodyPr wrap="square" lIns="38100" tIns="19050" rIns="38100" bIns="19050" anchor="ctr">
                  <a:spAutoFit/>
                </a:bodyPr>
                <a:lstStyle/>
                <a:p>
                  <a:pPr>
                    <a:defRPr>
                      <a:solidFill>
                        <a:srgbClr val="FFFFCC"/>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5628360669995538"/>
                      <c:h val="0.3204109670867929"/>
                    </c:manualLayout>
                  </c15:layout>
                </c:ext>
                <c:ext xmlns:c16="http://schemas.microsoft.com/office/drawing/2014/chart" uri="{C3380CC4-5D6E-409C-BE32-E72D297353CC}">
                  <c16:uniqueId val="{00000002-3F7E-4992-B1D5-0A29695D5DB0}"/>
                </c:ext>
              </c:extLst>
            </c:dLbl>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PivotReport!$A$38:$A$40</c:f>
              <c:strCache>
                <c:ptCount val="2"/>
                <c:pt idx="0">
                  <c:v>Admitted</c:v>
                </c:pt>
                <c:pt idx="1">
                  <c:v>Not Admitted</c:v>
                </c:pt>
              </c:strCache>
            </c:strRef>
          </c:cat>
          <c:val>
            <c:numRef>
              <c:f>PivotReport!$C$38:$C$40</c:f>
              <c:numCache>
                <c:formatCode>0.00%</c:formatCode>
                <c:ptCount val="2"/>
                <c:pt idx="0">
                  <c:v>0.46268656716417911</c:v>
                </c:pt>
                <c:pt idx="1">
                  <c:v>0.53731343283582089</c:v>
                </c:pt>
              </c:numCache>
            </c:numRef>
          </c:val>
          <c:extLst>
            <c:ext xmlns:c16="http://schemas.microsoft.com/office/drawing/2014/chart" uri="{C3380CC4-5D6E-409C-BE32-E72D297353CC}">
              <c16:uniqueId val="{0000000C-B7EA-408C-B456-13E2689D45EF}"/>
            </c:ext>
          </c:extLst>
        </c:ser>
        <c:dLbls>
          <c:dLblPos val="inEnd"/>
          <c:showLegendKey val="0"/>
          <c:showVal val="1"/>
          <c:showCatName val="0"/>
          <c:showSerName val="0"/>
          <c:showPercent val="0"/>
          <c:showBubbleSize val="0"/>
        </c:dLbls>
        <c:gapWidth val="0"/>
        <c:axId val="127438239"/>
        <c:axId val="127435359"/>
      </c:barChart>
      <c:catAx>
        <c:axId val="127438239"/>
        <c:scaling>
          <c:orientation val="minMax"/>
        </c:scaling>
        <c:delete val="1"/>
        <c:axPos val="l"/>
        <c:numFmt formatCode="General" sourceLinked="1"/>
        <c:majorTickMark val="none"/>
        <c:minorTickMark val="none"/>
        <c:tickLblPos val="nextTo"/>
        <c:crossAx val="127435359"/>
        <c:crosses val="autoZero"/>
        <c:auto val="1"/>
        <c:lblAlgn val="ctr"/>
        <c:lblOffset val="100"/>
        <c:noMultiLvlLbl val="0"/>
      </c:catAx>
      <c:valAx>
        <c:axId val="127435359"/>
        <c:scaling>
          <c:orientation val="minMax"/>
        </c:scaling>
        <c:delete val="1"/>
        <c:axPos val="b"/>
        <c:numFmt formatCode="0" sourceLinked="1"/>
        <c:majorTickMark val="none"/>
        <c:minorTickMark val="none"/>
        <c:tickLblPos val="nextTo"/>
        <c:crossAx val="12743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[Her Dashboard.xlsx]PivotReport!PivotTable4</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bg1">
              <a:lumMod val="9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02133014455916"/>
          <c:y val="0.16711833369374676"/>
          <c:w val="0.78134567105123121"/>
          <c:h val="0.38005134740939439"/>
        </c:manualLayout>
      </c:layout>
      <c:areaChart>
        <c:grouping val="standard"/>
        <c:varyColors val="0"/>
        <c:ser>
          <c:idx val="0"/>
          <c:order val="0"/>
          <c:tx>
            <c:strRef>
              <c:f>PivotReport!$D$4</c:f>
              <c:strCache>
                <c:ptCount val="1"/>
                <c:pt idx="0">
                  <c:v>Total</c:v>
                </c:pt>
              </c:strCache>
            </c:strRef>
          </c:tx>
          <c:spPr>
            <a:solidFill>
              <a:schemeClr val="bg1">
                <a:lumMod val="95000"/>
              </a:schemeClr>
            </a:solidFill>
            <a:ln w="25400">
              <a:noFill/>
            </a:ln>
            <a:effectLst/>
          </c:spPr>
          <c:cat>
            <c:strRef>
              <c:f>PivotReport!$C$5:$C$35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PivotReport!$D$5:$D$35</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6-79D7-4573-A5A9-7F8D0C6B8641}"/>
            </c:ext>
          </c:extLst>
        </c:ser>
        <c:dLbls>
          <c:showLegendKey val="0"/>
          <c:showVal val="0"/>
          <c:showCatName val="0"/>
          <c:showSerName val="0"/>
          <c:showPercent val="0"/>
          <c:showBubbleSize val="0"/>
        </c:dLbls>
        <c:axId val="1506444799"/>
        <c:axId val="1506458239"/>
      </c:areaChart>
      <c:catAx>
        <c:axId val="1506444799"/>
        <c:scaling>
          <c:orientation val="minMax"/>
        </c:scaling>
        <c:delete val="1"/>
        <c:axPos val="b"/>
        <c:numFmt formatCode="General" sourceLinked="1"/>
        <c:majorTickMark val="out"/>
        <c:minorTickMark val="none"/>
        <c:tickLblPos val="nextTo"/>
        <c:crossAx val="1506458239"/>
        <c:crosses val="autoZero"/>
        <c:auto val="1"/>
        <c:lblAlgn val="ctr"/>
        <c:lblOffset val="100"/>
        <c:noMultiLvlLbl val="0"/>
      </c:catAx>
      <c:valAx>
        <c:axId val="1506458239"/>
        <c:scaling>
          <c:orientation val="minMax"/>
        </c:scaling>
        <c:delete val="1"/>
        <c:axPos val="l"/>
        <c:numFmt formatCode="General" sourceLinked="1"/>
        <c:majorTickMark val="none"/>
        <c:minorTickMark val="none"/>
        <c:tickLblPos val="nextTo"/>
        <c:crossAx val="15064447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[Her Dashboard.xlsx]PivotReport!PivotTable5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27999445028962E-2"/>
          <c:y val="7.9464053743087265E-2"/>
          <c:w val="0.87542087542087543"/>
          <c:h val="0.82972143141259702"/>
        </c:manualLayout>
      </c:layout>
      <c:areaChart>
        <c:grouping val="standard"/>
        <c:varyColors val="0"/>
        <c:ser>
          <c:idx val="0"/>
          <c:order val="0"/>
          <c:tx>
            <c:strRef>
              <c:f>PivotReport!$G$4</c:f>
              <c:strCache>
                <c:ptCount val="1"/>
                <c:pt idx="0">
                  <c:v>Total</c:v>
                </c:pt>
              </c:strCache>
            </c:strRef>
          </c:tx>
          <c:spPr>
            <a:solidFill>
              <a:schemeClr val="bg1">
                <a:lumMod val="95000"/>
              </a:schemeClr>
            </a:solidFill>
            <a:ln w="25400">
              <a:noFill/>
            </a:ln>
            <a:effectLst/>
          </c:spPr>
          <c:cat>
            <c:strRef>
              <c:f>PivotReport!$F$5:$F$35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PivotReport!$G$5:$G$35</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4-AC05-41FA-AE8C-6E25E35F21A8}"/>
            </c:ext>
          </c:extLst>
        </c:ser>
        <c:dLbls>
          <c:showLegendKey val="0"/>
          <c:showVal val="0"/>
          <c:showCatName val="0"/>
          <c:showSerName val="0"/>
          <c:showPercent val="0"/>
          <c:showBubbleSize val="0"/>
        </c:dLbls>
        <c:axId val="127410879"/>
        <c:axId val="127412319"/>
      </c:areaChart>
      <c:catAx>
        <c:axId val="127410879"/>
        <c:scaling>
          <c:orientation val="minMax"/>
        </c:scaling>
        <c:delete val="1"/>
        <c:axPos val="b"/>
        <c:numFmt formatCode="General" sourceLinked="1"/>
        <c:majorTickMark val="out"/>
        <c:minorTickMark val="none"/>
        <c:tickLblPos val="nextTo"/>
        <c:crossAx val="127412319"/>
        <c:crosses val="autoZero"/>
        <c:auto val="1"/>
        <c:lblAlgn val="ctr"/>
        <c:lblOffset val="100"/>
        <c:noMultiLvlLbl val="0"/>
      </c:catAx>
      <c:valAx>
        <c:axId val="127412319"/>
        <c:scaling>
          <c:orientation val="minMax"/>
        </c:scaling>
        <c:delete val="1"/>
        <c:axPos val="l"/>
        <c:numFmt formatCode="0.00" sourceLinked="1"/>
        <c:majorTickMark val="none"/>
        <c:minorTickMark val="none"/>
        <c:tickLblPos val="nextTo"/>
        <c:crossAx val="1274108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[Her Dashboard.xlsx]PivotReport!PivotTable6</c:name>
    <c:fmtId val="2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bg1">
              <a:lumMod val="9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PivotReport!$J$4</c:f>
              <c:strCache>
                <c:ptCount val="1"/>
                <c:pt idx="0">
                  <c:v>Total</c:v>
                </c:pt>
              </c:strCache>
            </c:strRef>
          </c:tx>
          <c:spPr>
            <a:solidFill>
              <a:schemeClr val="bg1">
                <a:lumMod val="95000"/>
              </a:schemeClr>
            </a:solidFill>
            <a:ln w="25400">
              <a:noFill/>
            </a:ln>
            <a:effectLst/>
          </c:spPr>
          <c:cat>
            <c:strRef>
              <c:f>PivotReport!$I$5:$I$32</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PivotReport!$J$5:$J$32</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6-7482-44D3-B0EC-BBE1D36E45AD}"/>
            </c:ext>
          </c:extLst>
        </c:ser>
        <c:dLbls>
          <c:showLegendKey val="0"/>
          <c:showVal val="0"/>
          <c:showCatName val="0"/>
          <c:showSerName val="0"/>
          <c:showPercent val="0"/>
          <c:showBubbleSize val="0"/>
        </c:dLbls>
        <c:axId val="127390239"/>
        <c:axId val="127385439"/>
      </c:areaChart>
      <c:catAx>
        <c:axId val="127390239"/>
        <c:scaling>
          <c:orientation val="minMax"/>
        </c:scaling>
        <c:delete val="1"/>
        <c:axPos val="b"/>
        <c:numFmt formatCode="General" sourceLinked="1"/>
        <c:majorTickMark val="out"/>
        <c:minorTickMark val="none"/>
        <c:tickLblPos val="nextTo"/>
        <c:crossAx val="127385439"/>
        <c:crosses val="autoZero"/>
        <c:auto val="1"/>
        <c:lblAlgn val="ctr"/>
        <c:lblOffset val="100"/>
        <c:noMultiLvlLbl val="0"/>
      </c:catAx>
      <c:valAx>
        <c:axId val="127385439"/>
        <c:scaling>
          <c:orientation val="minMax"/>
        </c:scaling>
        <c:delete val="1"/>
        <c:axPos val="l"/>
        <c:numFmt formatCode="0.00" sourceLinked="1"/>
        <c:majorTickMark val="none"/>
        <c:minorTickMark val="none"/>
        <c:tickLblPos val="nextTo"/>
        <c:crossAx val="1273902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[Her Dashboard.xlsx]PivotReport!PivotTable8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1FAC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099303652008615E-2"/>
          <c:y val="0.16139923392552591"/>
          <c:w val="0.90425529241505886"/>
          <c:h val="0.62890715350210924"/>
        </c:manualLayout>
      </c:layout>
      <c:barChart>
        <c:barDir val="col"/>
        <c:grouping val="clustered"/>
        <c:varyColors val="0"/>
        <c:ser>
          <c:idx val="0"/>
          <c:order val="0"/>
          <c:tx>
            <c:strRef>
              <c:f>PivotReport!$B$49</c:f>
              <c:strCache>
                <c:ptCount val="1"/>
                <c:pt idx="0">
                  <c:v>Total</c:v>
                </c:pt>
              </c:strCache>
            </c:strRef>
          </c:tx>
          <c:spPr>
            <a:solidFill>
              <a:srgbClr val="FFFF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1FAC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PivotReport!$A$50:$A$58</c:f>
              <c:strCache>
                <c:ptCount val="8"/>
                <c:pt idx="0">
                  <c:v>0-9</c:v>
                </c:pt>
                <c:pt idx="1">
                  <c:v>10-19</c:v>
                </c:pt>
                <c:pt idx="2">
                  <c:v>20-29</c:v>
                </c:pt>
                <c:pt idx="3">
                  <c:v>30-39</c:v>
                </c:pt>
                <c:pt idx="4">
                  <c:v>40-49</c:v>
                </c:pt>
                <c:pt idx="5">
                  <c:v>50-59</c:v>
                </c:pt>
                <c:pt idx="6">
                  <c:v>60-69</c:v>
                </c:pt>
                <c:pt idx="7">
                  <c:v>70-79</c:v>
                </c:pt>
              </c:strCache>
            </c:strRef>
          </c:cat>
          <c:val>
            <c:numRef>
              <c:f>PivotReport!$B$50:$B$58</c:f>
              <c:numCache>
                <c:formatCode>0</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4-E906-4478-BC1F-1B6E1B1E8B99}"/>
            </c:ext>
          </c:extLst>
        </c:ser>
        <c:dLbls>
          <c:showLegendKey val="0"/>
          <c:showVal val="0"/>
          <c:showCatName val="0"/>
          <c:showSerName val="0"/>
          <c:showPercent val="0"/>
          <c:showBubbleSize val="0"/>
        </c:dLbls>
        <c:gapWidth val="219"/>
        <c:overlap val="-27"/>
        <c:axId val="184736655"/>
        <c:axId val="184737135"/>
      </c:barChart>
      <c:catAx>
        <c:axId val="18473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rgbClr val="F1FAC2"/>
                </a:solidFill>
                <a:latin typeface="+mn-lt"/>
                <a:ea typeface="+mn-ea"/>
                <a:cs typeface="+mn-cs"/>
              </a:defRPr>
            </a:pPr>
            <a:endParaRPr lang="en-US"/>
          </a:p>
        </c:txPr>
        <c:crossAx val="184737135"/>
        <c:crosses val="autoZero"/>
        <c:auto val="1"/>
        <c:lblAlgn val="ctr"/>
        <c:lblOffset val="100"/>
        <c:noMultiLvlLbl val="0"/>
      </c:catAx>
      <c:valAx>
        <c:axId val="184737135"/>
        <c:scaling>
          <c:orientation val="minMax"/>
        </c:scaling>
        <c:delete val="1"/>
        <c:axPos val="l"/>
        <c:numFmt formatCode="0" sourceLinked="1"/>
        <c:majorTickMark val="none"/>
        <c:minorTickMark val="none"/>
        <c:tickLblPos val="nextTo"/>
        <c:crossAx val="18473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F1FAC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[Her Dashboard.xlsx]PivotReport!PivotTable9</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CC"/>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outerShdw blurRad="317500" algn="ctr" rotWithShape="0">
              <a:prstClr val="black">
                <a:alpha val="25000"/>
              </a:prstClr>
            </a:outerShdw>
          </a:effectLst>
        </c:spPr>
        <c:dLbl>
          <c:idx val="0"/>
          <c:layout>
            <c:manualLayout>
              <c:x val="-0.2671259842519686"/>
              <c:y val="-0.125446635347052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CC"/>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CC"/>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175958851917703"/>
          <c:y val="0.12675919465762983"/>
          <c:w val="0.71194142133507199"/>
          <c:h val="0.87324064960629921"/>
        </c:manualLayout>
      </c:layout>
      <c:pieChart>
        <c:varyColors val="1"/>
        <c:ser>
          <c:idx val="0"/>
          <c:order val="0"/>
          <c:tx>
            <c:strRef>
              <c:f>PivotReport!$E$49</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9D4-4083-81EB-9FBB122C5B8E}"/>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9D4-4083-81EB-9FBB122C5B8E}"/>
              </c:ext>
            </c:extLst>
          </c:dPt>
          <c:dLbls>
            <c:dLbl>
              <c:idx val="0"/>
              <c:layout>
                <c:manualLayout>
                  <c:x val="-0.2671259842519686"/>
                  <c:y val="-0.1254466353470521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9D4-4083-81EB-9FBB122C5B8E}"/>
                </c:ext>
              </c:extLst>
            </c:dLbl>
            <c:dLbl>
              <c:idx val="1"/>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9D4-4083-81EB-9FBB122C5B8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CC"/>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PivotReport!$D$50:$D$52</c:f>
              <c:strCache>
                <c:ptCount val="2"/>
                <c:pt idx="0">
                  <c:v>Delay</c:v>
                </c:pt>
                <c:pt idx="1">
                  <c:v>On Time</c:v>
                </c:pt>
              </c:strCache>
            </c:strRef>
          </c:cat>
          <c:val>
            <c:numRef>
              <c:f>PivotReport!$E$50:$E$52</c:f>
              <c:numCache>
                <c:formatCode>0</c:formatCode>
                <c:ptCount val="2"/>
                <c:pt idx="0">
                  <c:v>268</c:v>
                </c:pt>
                <c:pt idx="1">
                  <c:v>201</c:v>
                </c:pt>
              </c:numCache>
            </c:numRef>
          </c:val>
          <c:extLst>
            <c:ext xmlns:c16="http://schemas.microsoft.com/office/drawing/2014/chart" uri="{C3380CC4-5D6E-409C-BE32-E72D297353CC}">
              <c16:uniqueId val="{00000008-2FBB-4E7A-97CF-08BE1FA9925C}"/>
            </c:ext>
          </c:extLst>
        </c:ser>
        <c:dLbls>
          <c:dLblPos val="inEnd"/>
          <c:showLegendKey val="0"/>
          <c:showVal val="0"/>
          <c:showCatName val="1"/>
          <c:showSerName val="0"/>
          <c:showPercent val="0"/>
          <c:showBubbleSize val="0"/>
          <c:showLeaderLines val="1"/>
        </c:dLbls>
        <c:firstSliceAng val="0"/>
      </c:pieChart>
      <c:spPr>
        <a:noFill/>
        <a:ln>
          <a:noFill/>
        </a:ln>
        <a:effectLst/>
      </c:spPr>
    </c:plotArea>
    <c:legend>
      <c:legendPos val="r"/>
      <c:layout>
        <c:manualLayout>
          <c:xMode val="edge"/>
          <c:yMode val="edge"/>
          <c:x val="0.16648528010431818"/>
          <c:y val="2.7013871801181102E-2"/>
          <c:w val="0.67597547519935819"/>
          <c:h val="8.5088807580685086E-2"/>
        </c:manualLayout>
      </c:layout>
      <c:overlay val="0"/>
      <c:spPr>
        <a:noFill/>
        <a:ln>
          <a:noFill/>
        </a:ln>
        <a:effectLst/>
      </c:spPr>
      <c:txPr>
        <a:bodyPr rot="0" spcFirstLastPara="1" vertOverflow="ellipsis" vert="horz" wrap="square" anchor="ctr" anchorCtr="1"/>
        <a:lstStyle/>
        <a:p>
          <a:pPr>
            <a:defRPr sz="700" b="0" i="0" u="none" strike="noStrike" kern="1200" baseline="0">
              <a:solidFill>
                <a:srgbClr val="FFFFCC"/>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FFFFC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[Her Dashboard.xlsx]PivotReport!PivotTable11</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6"/>
          </a:solidFill>
          <a:ln>
            <a:noFill/>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CC"/>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3.0864197530864338E-2"/>
              <c:y val="-0.1305220883534136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CC"/>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c:spPr>
        <c:dLbl>
          <c:idx val="0"/>
          <c:layout>
            <c:manualLayout>
              <c:x val="3.0864197530864196E-2"/>
              <c:y val="0.1305220883534136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CC"/>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039479440069992"/>
          <c:y val="0.12090408879612941"/>
          <c:w val="0.66016938854865359"/>
          <c:h val="0.85901558991873006"/>
        </c:manualLayout>
      </c:layout>
      <c:doughnutChart>
        <c:varyColors val="1"/>
        <c:ser>
          <c:idx val="0"/>
          <c:order val="0"/>
          <c:tx>
            <c:strRef>
              <c:f>PivotReport!$E$55</c:f>
              <c:strCache>
                <c:ptCount val="1"/>
                <c:pt idx="0">
                  <c:v>Total</c:v>
                </c:pt>
              </c:strCache>
            </c:strRef>
          </c:tx>
          <c:spPr>
            <a:ln>
              <a:noFill/>
            </a:ln>
            <a:effectLst/>
          </c:spPr>
          <c:dPt>
            <c:idx val="0"/>
            <c:bubble3D val="0"/>
            <c:spPr>
              <a:solidFill>
                <a:schemeClr val="accent6"/>
              </a:solidFill>
              <a:ln>
                <a:noFill/>
              </a:ln>
              <a:effectLst/>
            </c:spPr>
            <c:extLst>
              <c:ext xmlns:c16="http://schemas.microsoft.com/office/drawing/2014/chart" uri="{C3380CC4-5D6E-409C-BE32-E72D297353CC}">
                <c16:uniqueId val="{00000001-884A-445D-BFF1-6E8BFDEE4AE2}"/>
              </c:ext>
            </c:extLst>
          </c:dPt>
          <c:dPt>
            <c:idx val="1"/>
            <c:bubble3D val="0"/>
            <c:spPr>
              <a:solidFill>
                <a:schemeClr val="accent5"/>
              </a:solidFill>
              <a:ln>
                <a:noFill/>
              </a:ln>
              <a:effectLst/>
            </c:spPr>
            <c:extLst>
              <c:ext xmlns:c16="http://schemas.microsoft.com/office/drawing/2014/chart" uri="{C3380CC4-5D6E-409C-BE32-E72D297353CC}">
                <c16:uniqueId val="{00000003-884A-445D-BFF1-6E8BFDEE4AE2}"/>
              </c:ext>
            </c:extLst>
          </c:dPt>
          <c:dLbls>
            <c:dLbl>
              <c:idx val="0"/>
              <c:layout>
                <c:manualLayout>
                  <c:x val="-3.0864197530864338E-2"/>
                  <c:y val="-0.1305220883534136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84A-445D-BFF1-6E8BFDEE4AE2}"/>
                </c:ext>
              </c:extLst>
            </c:dLbl>
            <c:dLbl>
              <c:idx val="1"/>
              <c:layout>
                <c:manualLayout>
                  <c:x val="3.0864197530864196E-2"/>
                  <c:y val="0.1305220883534136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84A-445D-BFF1-6E8BFDEE4AE2}"/>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CC"/>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PivotReport!$D$56:$D$58</c:f>
              <c:strCache>
                <c:ptCount val="2"/>
                <c:pt idx="0">
                  <c:v>Female</c:v>
                </c:pt>
                <c:pt idx="1">
                  <c:v>Male</c:v>
                </c:pt>
              </c:strCache>
            </c:strRef>
          </c:cat>
          <c:val>
            <c:numRef>
              <c:f>PivotReport!$E$56:$E$58</c:f>
              <c:numCache>
                <c:formatCode>0</c:formatCode>
                <c:ptCount val="2"/>
                <c:pt idx="0">
                  <c:v>241</c:v>
                </c:pt>
                <c:pt idx="1">
                  <c:v>228</c:v>
                </c:pt>
              </c:numCache>
            </c:numRef>
          </c:val>
          <c:extLst>
            <c:ext xmlns:c16="http://schemas.microsoft.com/office/drawing/2014/chart" uri="{C3380CC4-5D6E-409C-BE32-E72D297353CC}">
              <c16:uniqueId val="{00000008-EE94-479D-BC62-EFF1BFAABF2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4252150772820063"/>
          <c:y val="2.3749328020744396E-2"/>
          <c:w val="0.66736854362731535"/>
          <c:h val="9.9087766468215877E-2"/>
        </c:manualLayout>
      </c:layout>
      <c:overlay val="0"/>
      <c:spPr>
        <a:noFill/>
        <a:ln>
          <a:noFill/>
        </a:ln>
        <a:effectLst/>
      </c:spPr>
      <c:txPr>
        <a:bodyPr rot="0" spcFirstLastPara="1" vertOverflow="ellipsis" vert="horz" wrap="square" anchor="ctr" anchorCtr="1"/>
        <a:lstStyle/>
        <a:p>
          <a:pPr>
            <a:defRPr sz="700" b="0" i="0" u="none" strike="noStrike" kern="1200" baseline="0">
              <a:solidFill>
                <a:srgbClr val="FFFFCC"/>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FFFFC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[Her Dashboard.xlsx]PivotReport!PivotTable12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FFC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99618602362203"/>
          <c:y val="4.1782706894311135E-2"/>
          <c:w val="0.68003506397637792"/>
          <c:h val="0.90377666522160238"/>
        </c:manualLayout>
      </c:layout>
      <c:barChart>
        <c:barDir val="bar"/>
        <c:grouping val="clustered"/>
        <c:varyColors val="0"/>
        <c:ser>
          <c:idx val="0"/>
          <c:order val="0"/>
          <c:tx>
            <c:strRef>
              <c:f>PivotReport!$B$61</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FFCC"/>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PivotReport!$A$62:$A$70</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PivotReport!$B$62:$B$70</c:f>
              <c:numCache>
                <c:formatCode>0</c:formatCode>
                <c:ptCount val="8"/>
                <c:pt idx="0">
                  <c:v>3</c:v>
                </c:pt>
                <c:pt idx="1">
                  <c:v>8</c:v>
                </c:pt>
                <c:pt idx="2">
                  <c:v>10</c:v>
                </c:pt>
                <c:pt idx="3">
                  <c:v>13</c:v>
                </c:pt>
                <c:pt idx="4">
                  <c:v>15</c:v>
                </c:pt>
                <c:pt idx="5">
                  <c:v>44</c:v>
                </c:pt>
                <c:pt idx="6">
                  <c:v>92</c:v>
                </c:pt>
                <c:pt idx="7">
                  <c:v>284</c:v>
                </c:pt>
              </c:numCache>
            </c:numRef>
          </c:val>
          <c:extLst>
            <c:ext xmlns:c16="http://schemas.microsoft.com/office/drawing/2014/chart" uri="{C3380CC4-5D6E-409C-BE32-E72D297353CC}">
              <c16:uniqueId val="{00000004-1306-4F81-9464-93596EC5EA9D}"/>
            </c:ext>
          </c:extLst>
        </c:ser>
        <c:dLbls>
          <c:showLegendKey val="0"/>
          <c:showVal val="0"/>
          <c:showCatName val="0"/>
          <c:showSerName val="0"/>
          <c:showPercent val="0"/>
          <c:showBubbleSize val="0"/>
        </c:dLbls>
        <c:gapWidth val="50"/>
        <c:axId val="1577278191"/>
        <c:axId val="1577280111"/>
      </c:barChart>
      <c:catAx>
        <c:axId val="1577278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FFFFCC"/>
                </a:solidFill>
                <a:latin typeface="+mj-lt"/>
                <a:ea typeface="+mn-ea"/>
                <a:cs typeface="+mn-cs"/>
              </a:defRPr>
            </a:pPr>
            <a:endParaRPr lang="en-US"/>
          </a:p>
        </c:txPr>
        <c:crossAx val="1577280111"/>
        <c:crosses val="autoZero"/>
        <c:auto val="1"/>
        <c:lblAlgn val="ctr"/>
        <c:lblOffset val="100"/>
        <c:noMultiLvlLbl val="0"/>
      </c:catAx>
      <c:valAx>
        <c:axId val="1577280111"/>
        <c:scaling>
          <c:orientation val="minMax"/>
        </c:scaling>
        <c:delete val="1"/>
        <c:axPos val="b"/>
        <c:numFmt formatCode="0" sourceLinked="1"/>
        <c:majorTickMark val="none"/>
        <c:minorTickMark val="none"/>
        <c:tickLblPos val="nextTo"/>
        <c:crossAx val="157727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FFFFC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[Her Dashboard.xlsx]PivotReport!PivotTable6</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w="25400">
            <a:no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PivotReport!$J$4</c:f>
              <c:strCache>
                <c:ptCount val="1"/>
                <c:pt idx="0">
                  <c:v>Total</c:v>
                </c:pt>
              </c:strCache>
            </c:strRef>
          </c:tx>
          <c:spPr>
            <a:gradFill>
              <a:gsLst>
                <a:gs pos="0">
                  <a:schemeClr val="lt1">
                    <a:alpha val="50000"/>
                  </a:schemeClr>
                </a:gs>
                <a:gs pos="100000">
                  <a:schemeClr val="lt1">
                    <a:alpha val="0"/>
                  </a:schemeClr>
                </a:gs>
              </a:gsLst>
              <a:lin ang="5400000" scaled="0"/>
            </a:gradFill>
            <a:ln w="25400">
              <a:no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PivotReport!$I$5:$I$32</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PivotReport!$J$5:$J$32</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3-397F-461F-B251-6B1B446481C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7390239"/>
        <c:axId val="127385439"/>
      </c:areaChart>
      <c:catAx>
        <c:axId val="12739023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7385439"/>
        <c:crosses val="autoZero"/>
        <c:auto val="1"/>
        <c:lblAlgn val="ctr"/>
        <c:lblOffset val="100"/>
        <c:noMultiLvlLbl val="0"/>
      </c:catAx>
      <c:valAx>
        <c:axId val="127385439"/>
        <c:scaling>
          <c:orientation val="minMax"/>
        </c:scaling>
        <c:delete val="1"/>
        <c:axPos val="l"/>
        <c:numFmt formatCode="0.00" sourceLinked="1"/>
        <c:majorTickMark val="out"/>
        <c:minorTickMark val="none"/>
        <c:tickLblPos val="nextTo"/>
        <c:crossAx val="127390239"/>
        <c:crosses val="autoZero"/>
        <c:crossBetween val="midCat"/>
      </c:valAx>
      <c:spPr>
        <a:solidFill>
          <a:schemeClr val="accent4">
            <a:lumMod val="5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[Her Dashboard.xlsx]PivotReport!PivotTable5</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w="25400">
            <a:no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090726830501687E-2"/>
          <c:y val="3.316775644272537E-2"/>
          <c:w val="0.94078030847167127"/>
          <c:h val="0.87601763595340054"/>
        </c:manualLayout>
      </c:layout>
      <c:areaChart>
        <c:grouping val="standard"/>
        <c:varyColors val="0"/>
        <c:ser>
          <c:idx val="0"/>
          <c:order val="0"/>
          <c:tx>
            <c:strRef>
              <c:f>PivotReport!$G$4</c:f>
              <c:strCache>
                <c:ptCount val="1"/>
                <c:pt idx="0">
                  <c:v>Total</c:v>
                </c:pt>
              </c:strCache>
            </c:strRef>
          </c:tx>
          <c:spPr>
            <a:gradFill>
              <a:gsLst>
                <a:gs pos="0">
                  <a:schemeClr val="lt1">
                    <a:alpha val="50000"/>
                  </a:schemeClr>
                </a:gs>
                <a:gs pos="100000">
                  <a:schemeClr val="lt1">
                    <a:alpha val="0"/>
                  </a:schemeClr>
                </a:gs>
              </a:gsLst>
              <a:lin ang="5400000" scaled="0"/>
            </a:gradFill>
            <a:ln w="25400">
              <a:no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PivotReport!$F$5:$F$35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PivotReport!$G$5:$G$35</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3-065E-4FB8-B2DB-B1FE220E480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7410879"/>
        <c:axId val="127412319"/>
      </c:areaChart>
      <c:catAx>
        <c:axId val="12741087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7412319"/>
        <c:crosses val="autoZero"/>
        <c:auto val="1"/>
        <c:lblAlgn val="ctr"/>
        <c:lblOffset val="100"/>
        <c:noMultiLvlLbl val="0"/>
      </c:catAx>
      <c:valAx>
        <c:axId val="127412319"/>
        <c:scaling>
          <c:orientation val="minMax"/>
        </c:scaling>
        <c:delete val="1"/>
        <c:axPos val="l"/>
        <c:numFmt formatCode="0.00" sourceLinked="1"/>
        <c:majorTickMark val="out"/>
        <c:minorTickMark val="none"/>
        <c:tickLblPos val="nextTo"/>
        <c:crossAx val="127410879"/>
        <c:crosses val="autoZero"/>
        <c:crossBetween val="midCat"/>
      </c:valAx>
      <c:spPr>
        <a:solidFill>
          <a:schemeClr val="accent4">
            <a:lumMod val="5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[Her Dashboard.xlsx]PivotReport!PivotTable4</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w="25400">
            <a:no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manualLayout>
          <c:layoutTarget val="inner"/>
          <c:xMode val="edge"/>
          <c:yMode val="edge"/>
          <c:x val="3.6179982710494524E-2"/>
          <c:y val="4.0116703136396793E-2"/>
          <c:w val="0.94105619610048741"/>
          <c:h val="0.75898304013967621"/>
        </c:manualLayout>
      </c:layout>
      <c:areaChart>
        <c:grouping val="standard"/>
        <c:varyColors val="0"/>
        <c:ser>
          <c:idx val="0"/>
          <c:order val="0"/>
          <c:tx>
            <c:strRef>
              <c:f>PivotReport!$D$4</c:f>
              <c:strCache>
                <c:ptCount val="1"/>
                <c:pt idx="0">
                  <c:v>Total</c:v>
                </c:pt>
              </c:strCache>
            </c:strRef>
          </c:tx>
          <c:spPr>
            <a:gradFill>
              <a:gsLst>
                <a:gs pos="0">
                  <a:schemeClr val="lt1">
                    <a:alpha val="50000"/>
                  </a:schemeClr>
                </a:gs>
                <a:gs pos="100000">
                  <a:schemeClr val="lt1">
                    <a:alpha val="0"/>
                  </a:schemeClr>
                </a:gs>
              </a:gsLst>
              <a:lin ang="5400000" scaled="0"/>
            </a:gradFill>
            <a:ln w="25400">
              <a:no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PivotReport!$C$5:$C$35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PivotReport!$D$5:$D$35</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4-8839-4664-BEE6-01E533ADB92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06444799"/>
        <c:axId val="1506458239"/>
      </c:areaChart>
      <c:catAx>
        <c:axId val="150644479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06458239"/>
        <c:crosses val="autoZero"/>
        <c:auto val="1"/>
        <c:lblAlgn val="ctr"/>
        <c:lblOffset val="100"/>
        <c:noMultiLvlLbl val="0"/>
      </c:catAx>
      <c:valAx>
        <c:axId val="1506458239"/>
        <c:scaling>
          <c:orientation val="minMax"/>
        </c:scaling>
        <c:delete val="1"/>
        <c:axPos val="l"/>
        <c:numFmt formatCode="General" sourceLinked="1"/>
        <c:majorTickMark val="out"/>
        <c:minorTickMark val="none"/>
        <c:tickLblPos val="nextTo"/>
        <c:crossAx val="1506444799"/>
        <c:crosses val="autoZero"/>
        <c:crossBetween val="midCat"/>
      </c:valAx>
      <c:spPr>
        <a:solidFill>
          <a:schemeClr val="accent4">
            <a:lumMod val="5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of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erage Patient Satisfaction sc'!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5.svg"/><Relationship Id="rId2" Type="http://schemas.openxmlformats.org/officeDocument/2006/relationships/image" Target="../media/image14.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706581</xdr:colOff>
      <xdr:row>43</xdr:row>
      <xdr:rowOff>55417</xdr:rowOff>
    </xdr:from>
    <xdr:to>
      <xdr:col>3</xdr:col>
      <xdr:colOff>990599</xdr:colOff>
      <xdr:row>46</xdr:row>
      <xdr:rowOff>117765</xdr:rowOff>
    </xdr:to>
    <xdr:graphicFrame macro="">
      <xdr:nvGraphicFramePr>
        <xdr:cNvPr id="6" name="Chart 5">
          <a:extLst>
            <a:ext uri="{FF2B5EF4-FFF2-40B4-BE49-F238E27FC236}">
              <a16:creationId xmlns:a16="http://schemas.microsoft.com/office/drawing/2014/main" id="{AC545221-38A5-DA53-245C-7B0573279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208511</xdr:colOff>
      <xdr:row>79</xdr:row>
      <xdr:rowOff>6928</xdr:rowOff>
    </xdr:from>
    <xdr:to>
      <xdr:col>4</xdr:col>
      <xdr:colOff>97675</xdr:colOff>
      <xdr:row>84</xdr:row>
      <xdr:rowOff>1</xdr:rowOff>
    </xdr:to>
    <mc:AlternateContent xmlns:mc="http://schemas.openxmlformats.org/markup-compatibility/2006" xmlns:a14="http://schemas.microsoft.com/office/drawing/2010/main">
      <mc:Choice Requires="a14">
        <xdr:graphicFrame macro="">
          <xdr:nvGraphicFramePr>
            <xdr:cNvPr id="11" name="Date (Year)">
              <a:extLst>
                <a:ext uri="{FF2B5EF4-FFF2-40B4-BE49-F238E27FC236}">
                  <a16:creationId xmlns:a16="http://schemas.microsoft.com/office/drawing/2014/main" id="{0984303F-7A3D-F428-8277-0DBF4AF1C5F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2446020" y="14249401"/>
              <a:ext cx="1828800" cy="8936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41031</xdr:colOff>
      <xdr:row>0</xdr:row>
      <xdr:rowOff>29309</xdr:rowOff>
    </xdr:from>
    <xdr:to>
      <xdr:col>5</xdr:col>
      <xdr:colOff>468922</xdr:colOff>
      <xdr:row>3</xdr:row>
      <xdr:rowOff>0</xdr:rowOff>
    </xdr:to>
    <xdr:sp macro="" textlink="">
      <xdr:nvSpPr>
        <xdr:cNvPr id="3" name="Rectangle: Rounded Corners 2">
          <a:extLst>
            <a:ext uri="{FF2B5EF4-FFF2-40B4-BE49-F238E27FC236}">
              <a16:creationId xmlns:a16="http://schemas.microsoft.com/office/drawing/2014/main" id="{1A2FFAF9-20E1-4B73-A59D-176A5DBF9305}"/>
            </a:ext>
          </a:extLst>
        </xdr:cNvPr>
        <xdr:cNvSpPr/>
      </xdr:nvSpPr>
      <xdr:spPr>
        <a:xfrm>
          <a:off x="41031" y="29309"/>
          <a:ext cx="3475891" cy="515814"/>
        </a:xfrm>
        <a:prstGeom prst="roundRect">
          <a:avLst>
            <a:gd name="adj" fmla="val 9770"/>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498231</xdr:colOff>
      <xdr:row>0</xdr:row>
      <xdr:rowOff>41032</xdr:rowOff>
    </xdr:from>
    <xdr:to>
      <xdr:col>7</xdr:col>
      <xdr:colOff>375138</xdr:colOff>
      <xdr:row>3</xdr:row>
      <xdr:rowOff>5863</xdr:rowOff>
    </xdr:to>
    <xdr:sp macro="" textlink="">
      <xdr:nvSpPr>
        <xdr:cNvPr id="5" name="Rectangle: Rounded Corners 4">
          <a:extLst>
            <a:ext uri="{FF2B5EF4-FFF2-40B4-BE49-F238E27FC236}">
              <a16:creationId xmlns:a16="http://schemas.microsoft.com/office/drawing/2014/main" id="{FAC8E5FA-C4D7-4856-ADCB-47C6505D71D3}"/>
            </a:ext>
          </a:extLst>
        </xdr:cNvPr>
        <xdr:cNvSpPr/>
      </xdr:nvSpPr>
      <xdr:spPr>
        <a:xfrm>
          <a:off x="3546231" y="41032"/>
          <a:ext cx="1096107" cy="509954"/>
        </a:xfrm>
        <a:prstGeom prst="roundRect">
          <a:avLst>
            <a:gd name="adj" fmla="val 12069"/>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35171</xdr:colOff>
      <xdr:row>3</xdr:row>
      <xdr:rowOff>23446</xdr:rowOff>
    </xdr:from>
    <xdr:to>
      <xdr:col>1</xdr:col>
      <xdr:colOff>263770</xdr:colOff>
      <xdr:row>20</xdr:row>
      <xdr:rowOff>34637</xdr:rowOff>
    </xdr:to>
    <xdr:sp macro="" textlink="">
      <xdr:nvSpPr>
        <xdr:cNvPr id="8" name="Rectangle: Rounded Corners 7">
          <a:extLst>
            <a:ext uri="{FF2B5EF4-FFF2-40B4-BE49-F238E27FC236}">
              <a16:creationId xmlns:a16="http://schemas.microsoft.com/office/drawing/2014/main" id="{617D9E15-BAA6-46FE-9BDD-3BCAF6C5A9E7}"/>
            </a:ext>
          </a:extLst>
        </xdr:cNvPr>
        <xdr:cNvSpPr/>
      </xdr:nvSpPr>
      <xdr:spPr>
        <a:xfrm>
          <a:off x="35171" y="563773"/>
          <a:ext cx="838199" cy="3086900"/>
        </a:xfrm>
        <a:prstGeom prst="roundRect">
          <a:avLst>
            <a:gd name="adj" fmla="val 5045"/>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357554</xdr:colOff>
      <xdr:row>3</xdr:row>
      <xdr:rowOff>46891</xdr:rowOff>
    </xdr:from>
    <xdr:to>
      <xdr:col>7</xdr:col>
      <xdr:colOff>381001</xdr:colOff>
      <xdr:row>7</xdr:row>
      <xdr:rowOff>158260</xdr:rowOff>
    </xdr:to>
    <xdr:sp macro="" textlink="">
      <xdr:nvSpPr>
        <xdr:cNvPr id="9" name="Rectangle: Rounded Corners 8">
          <a:extLst>
            <a:ext uri="{FF2B5EF4-FFF2-40B4-BE49-F238E27FC236}">
              <a16:creationId xmlns:a16="http://schemas.microsoft.com/office/drawing/2014/main" id="{AAB172C0-6888-4A25-A5D5-03C729522717}"/>
            </a:ext>
          </a:extLst>
        </xdr:cNvPr>
        <xdr:cNvSpPr/>
      </xdr:nvSpPr>
      <xdr:spPr>
        <a:xfrm>
          <a:off x="3405554" y="592014"/>
          <a:ext cx="1242647" cy="838200"/>
        </a:xfrm>
        <a:prstGeom prst="roundRect">
          <a:avLst>
            <a:gd name="adj" fmla="val 5172"/>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293077</xdr:colOff>
      <xdr:row>11</xdr:row>
      <xdr:rowOff>58615</xdr:rowOff>
    </xdr:from>
    <xdr:to>
      <xdr:col>7</xdr:col>
      <xdr:colOff>381000</xdr:colOff>
      <xdr:row>20</xdr:row>
      <xdr:rowOff>55419</xdr:rowOff>
    </xdr:to>
    <xdr:sp macro="" textlink="">
      <xdr:nvSpPr>
        <xdr:cNvPr id="14" name="Rectangle: Rounded Corners 13">
          <a:extLst>
            <a:ext uri="{FF2B5EF4-FFF2-40B4-BE49-F238E27FC236}">
              <a16:creationId xmlns:a16="http://schemas.microsoft.com/office/drawing/2014/main" id="{DFAA81DA-57FB-469E-83A8-9946FB30F760}"/>
            </a:ext>
          </a:extLst>
        </xdr:cNvPr>
        <xdr:cNvSpPr/>
      </xdr:nvSpPr>
      <xdr:spPr>
        <a:xfrm>
          <a:off x="902677" y="2039815"/>
          <a:ext cx="3745523" cy="1631640"/>
        </a:xfrm>
        <a:prstGeom prst="roundRect">
          <a:avLst>
            <a:gd name="adj" fmla="val 3810"/>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316524</xdr:colOff>
      <xdr:row>8</xdr:row>
      <xdr:rowOff>5861</xdr:rowOff>
    </xdr:from>
    <xdr:to>
      <xdr:col>7</xdr:col>
      <xdr:colOff>369278</xdr:colOff>
      <xdr:row>11</xdr:row>
      <xdr:rowOff>17583</xdr:rowOff>
    </xdr:to>
    <xdr:sp macro="" textlink="">
      <xdr:nvSpPr>
        <xdr:cNvPr id="15" name="Rectangle: Rounded Corners 14">
          <a:extLst>
            <a:ext uri="{FF2B5EF4-FFF2-40B4-BE49-F238E27FC236}">
              <a16:creationId xmlns:a16="http://schemas.microsoft.com/office/drawing/2014/main" id="{F09C979E-50F7-49B0-B55F-CA7B186F8EA2}"/>
            </a:ext>
          </a:extLst>
        </xdr:cNvPr>
        <xdr:cNvSpPr/>
      </xdr:nvSpPr>
      <xdr:spPr>
        <a:xfrm>
          <a:off x="926124" y="1459523"/>
          <a:ext cx="3710354" cy="556845"/>
        </a:xfrm>
        <a:prstGeom prst="roundRect">
          <a:avLst>
            <a:gd name="adj" fmla="val 9771"/>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410308</xdr:colOff>
      <xdr:row>8</xdr:row>
      <xdr:rowOff>10160</xdr:rowOff>
    </xdr:from>
    <xdr:to>
      <xdr:col>13</xdr:col>
      <xdr:colOff>71120</xdr:colOff>
      <xdr:row>20</xdr:row>
      <xdr:rowOff>34637</xdr:rowOff>
    </xdr:to>
    <xdr:sp macro="" textlink="">
      <xdr:nvSpPr>
        <xdr:cNvPr id="23" name="Rectangle: Rounded Corners 22">
          <a:extLst>
            <a:ext uri="{FF2B5EF4-FFF2-40B4-BE49-F238E27FC236}">
              <a16:creationId xmlns:a16="http://schemas.microsoft.com/office/drawing/2014/main" id="{D10909B4-06C9-4630-AC7E-019D97D3C533}"/>
            </a:ext>
          </a:extLst>
        </xdr:cNvPr>
        <xdr:cNvSpPr/>
      </xdr:nvSpPr>
      <xdr:spPr>
        <a:xfrm>
          <a:off x="4677508" y="1451033"/>
          <a:ext cx="3318412" cy="2199640"/>
        </a:xfrm>
        <a:prstGeom prst="roundRect">
          <a:avLst>
            <a:gd name="adj" fmla="val 2278"/>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410307</xdr:colOff>
      <xdr:row>0</xdr:row>
      <xdr:rowOff>29308</xdr:rowOff>
    </xdr:from>
    <xdr:to>
      <xdr:col>10</xdr:col>
      <xdr:colOff>238760</xdr:colOff>
      <xdr:row>7</xdr:row>
      <xdr:rowOff>162560</xdr:rowOff>
    </xdr:to>
    <xdr:sp macro="" textlink="">
      <xdr:nvSpPr>
        <xdr:cNvPr id="25" name="Rectangle: Rounded Corners 24">
          <a:extLst>
            <a:ext uri="{FF2B5EF4-FFF2-40B4-BE49-F238E27FC236}">
              <a16:creationId xmlns:a16="http://schemas.microsoft.com/office/drawing/2014/main" id="{672CDF32-1CF3-4045-8DC9-AFB9308B3F36}"/>
            </a:ext>
          </a:extLst>
        </xdr:cNvPr>
        <xdr:cNvSpPr/>
      </xdr:nvSpPr>
      <xdr:spPr>
        <a:xfrm>
          <a:off x="4677507" y="29308"/>
          <a:ext cx="1657253" cy="1413412"/>
        </a:xfrm>
        <a:prstGeom prst="roundRect">
          <a:avLst>
            <a:gd name="adj" fmla="val 3394"/>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322385</xdr:colOff>
      <xdr:row>3</xdr:row>
      <xdr:rowOff>41030</xdr:rowOff>
    </xdr:from>
    <xdr:to>
      <xdr:col>5</xdr:col>
      <xdr:colOff>339969</xdr:colOff>
      <xdr:row>7</xdr:row>
      <xdr:rowOff>152399</xdr:rowOff>
    </xdr:to>
    <xdr:sp macro="" textlink="Dashboard!$A$9">
      <xdr:nvSpPr>
        <xdr:cNvPr id="26" name="Rectangle: Rounded Corners 25">
          <a:extLst>
            <a:ext uri="{FF2B5EF4-FFF2-40B4-BE49-F238E27FC236}">
              <a16:creationId xmlns:a16="http://schemas.microsoft.com/office/drawing/2014/main" id="{E209FC27-4D77-452F-9209-2A3957E442DE}"/>
            </a:ext>
          </a:extLst>
        </xdr:cNvPr>
        <xdr:cNvSpPr/>
      </xdr:nvSpPr>
      <xdr:spPr>
        <a:xfrm>
          <a:off x="2151185" y="586153"/>
          <a:ext cx="1236784" cy="838200"/>
        </a:xfrm>
        <a:prstGeom prst="roundRect">
          <a:avLst>
            <a:gd name="adj" fmla="val 7270"/>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9E9E6A6-9220-4FD0-BE7C-FB190DB8A0C5}" type="TxLink">
            <a:rPr lang="en-US" sz="1100" b="0" i="0" u="none" strike="noStrike">
              <a:solidFill>
                <a:srgbClr val="E5F692"/>
              </a:solidFill>
              <a:latin typeface="Calibri"/>
              <a:ea typeface="Calibri"/>
              <a:cs typeface="Calibri"/>
            </a:rPr>
            <a:pPr algn="l"/>
            <a:t> </a:t>
          </a:fld>
          <a:endParaRPr lang="en-IN" sz="1100"/>
        </a:p>
      </xdr:txBody>
    </xdr:sp>
    <xdr:clientData/>
  </xdr:twoCellAnchor>
  <xdr:twoCellAnchor editAs="absolute">
    <xdr:from>
      <xdr:col>1</xdr:col>
      <xdr:colOff>293077</xdr:colOff>
      <xdr:row>3</xdr:row>
      <xdr:rowOff>35170</xdr:rowOff>
    </xdr:from>
    <xdr:to>
      <xdr:col>3</xdr:col>
      <xdr:colOff>298939</xdr:colOff>
      <xdr:row>7</xdr:row>
      <xdr:rowOff>146539</xdr:rowOff>
    </xdr:to>
    <xdr:sp macro="" textlink="">
      <xdr:nvSpPr>
        <xdr:cNvPr id="27" name="Rectangle: Rounded Corners 26">
          <a:extLst>
            <a:ext uri="{FF2B5EF4-FFF2-40B4-BE49-F238E27FC236}">
              <a16:creationId xmlns:a16="http://schemas.microsoft.com/office/drawing/2014/main" id="{4640017F-EC7E-4DCE-B170-ECC11458D889}"/>
            </a:ext>
          </a:extLst>
        </xdr:cNvPr>
        <xdr:cNvSpPr/>
      </xdr:nvSpPr>
      <xdr:spPr>
        <a:xfrm>
          <a:off x="902677" y="580293"/>
          <a:ext cx="1225062" cy="838200"/>
        </a:xfrm>
        <a:prstGeom prst="roundRect">
          <a:avLst>
            <a:gd name="adj" fmla="val 6571"/>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138545</xdr:colOff>
      <xdr:row>0</xdr:row>
      <xdr:rowOff>87925</xdr:rowOff>
    </xdr:from>
    <xdr:to>
      <xdr:col>5</xdr:col>
      <xdr:colOff>592547</xdr:colOff>
      <xdr:row>1</xdr:row>
      <xdr:rowOff>83127</xdr:rowOff>
    </xdr:to>
    <xdr:sp macro="" textlink="">
      <xdr:nvSpPr>
        <xdr:cNvPr id="28" name="TextBox 27">
          <a:extLst>
            <a:ext uri="{FF2B5EF4-FFF2-40B4-BE49-F238E27FC236}">
              <a16:creationId xmlns:a16="http://schemas.microsoft.com/office/drawing/2014/main" id="{A9CBD95A-988F-4EA4-DBCB-C1FA5E46BF83}"/>
            </a:ext>
          </a:extLst>
        </xdr:cNvPr>
        <xdr:cNvSpPr txBox="1"/>
      </xdr:nvSpPr>
      <xdr:spPr>
        <a:xfrm>
          <a:off x="748145" y="87925"/>
          <a:ext cx="2892402" cy="175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50" b="1">
              <a:solidFill>
                <a:srgbClr val="F1FAC2"/>
              </a:solidFill>
              <a:latin typeface="Arial" panose="020B0604020202020204" pitchFamily="34" charset="0"/>
              <a:cs typeface="Arial" panose="020B0604020202020204" pitchFamily="34" charset="0"/>
            </a:rPr>
            <a:t>Hospital Emergency</a:t>
          </a:r>
          <a:r>
            <a:rPr lang="en-IN" sz="1150" b="1" baseline="0">
              <a:solidFill>
                <a:srgbClr val="F1FAC2"/>
              </a:solidFill>
              <a:latin typeface="Arial" panose="020B0604020202020204" pitchFamily="34" charset="0"/>
              <a:cs typeface="Arial" panose="020B0604020202020204" pitchFamily="34" charset="0"/>
            </a:rPr>
            <a:t> Room Dashboard</a:t>
          </a:r>
          <a:endParaRPr lang="en-IN" sz="1150" b="1">
            <a:solidFill>
              <a:srgbClr val="F1FAC2"/>
            </a:solidFill>
            <a:latin typeface="Arial" panose="020B0604020202020204" pitchFamily="34" charset="0"/>
            <a:cs typeface="Arial" panose="020B0604020202020204" pitchFamily="34" charset="0"/>
          </a:endParaRPr>
        </a:p>
      </xdr:txBody>
    </xdr:sp>
    <xdr:clientData/>
  </xdr:twoCellAnchor>
  <xdr:twoCellAnchor editAs="oneCell">
    <xdr:from>
      <xdr:col>0</xdr:col>
      <xdr:colOff>152401</xdr:colOff>
      <xdr:row>0</xdr:row>
      <xdr:rowOff>94895</xdr:rowOff>
    </xdr:from>
    <xdr:to>
      <xdr:col>1</xdr:col>
      <xdr:colOff>52754</xdr:colOff>
      <xdr:row>2</xdr:row>
      <xdr:rowOff>128953</xdr:rowOff>
    </xdr:to>
    <xdr:pic>
      <xdr:nvPicPr>
        <xdr:cNvPr id="32" name="Picture 31">
          <a:extLst>
            <a:ext uri="{FF2B5EF4-FFF2-40B4-BE49-F238E27FC236}">
              <a16:creationId xmlns:a16="http://schemas.microsoft.com/office/drawing/2014/main" id="{F573C8A3-6093-9A87-7EB2-0F18FC6B10B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6599" t="22559" r="26487" b="28620"/>
        <a:stretch>
          <a:fillRect/>
        </a:stretch>
      </xdr:blipFill>
      <xdr:spPr>
        <a:xfrm>
          <a:off x="152401" y="94895"/>
          <a:ext cx="509953" cy="397473"/>
        </a:xfrm>
        <a:prstGeom prst="rect">
          <a:avLst/>
        </a:prstGeom>
        <a:noFill/>
      </xdr:spPr>
    </xdr:pic>
    <xdr:clientData/>
  </xdr:twoCellAnchor>
  <xdr:twoCellAnchor editAs="absolute">
    <xdr:from>
      <xdr:col>2</xdr:col>
      <xdr:colOff>334110</xdr:colOff>
      <xdr:row>1</xdr:row>
      <xdr:rowOff>123093</xdr:rowOff>
    </xdr:from>
    <xdr:to>
      <xdr:col>4</xdr:col>
      <xdr:colOff>175848</xdr:colOff>
      <xdr:row>2</xdr:row>
      <xdr:rowOff>134816</xdr:rowOff>
    </xdr:to>
    <xdr:sp macro="" textlink="">
      <xdr:nvSpPr>
        <xdr:cNvPr id="36" name="TextBox 35">
          <a:extLst>
            <a:ext uri="{FF2B5EF4-FFF2-40B4-BE49-F238E27FC236}">
              <a16:creationId xmlns:a16="http://schemas.microsoft.com/office/drawing/2014/main" id="{E8C54F06-0757-4E8F-A1C8-530EACDB3F63}"/>
            </a:ext>
          </a:extLst>
        </xdr:cNvPr>
        <xdr:cNvSpPr txBox="1"/>
      </xdr:nvSpPr>
      <xdr:spPr>
        <a:xfrm>
          <a:off x="1553310" y="304801"/>
          <a:ext cx="1060938" cy="193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0">
              <a:solidFill>
                <a:srgbClr val="F1FAC2"/>
              </a:solidFill>
            </a:rPr>
            <a:t>Monthly</a:t>
          </a:r>
          <a:r>
            <a:rPr lang="en-IN" sz="1100" b="0" baseline="0">
              <a:solidFill>
                <a:srgbClr val="F1FAC2"/>
              </a:solidFill>
            </a:rPr>
            <a:t> Report</a:t>
          </a:r>
          <a:endParaRPr lang="en-IN" sz="1100" b="0">
            <a:solidFill>
              <a:srgbClr val="F1FAC2"/>
            </a:solidFill>
          </a:endParaRPr>
        </a:p>
      </xdr:txBody>
    </xdr:sp>
    <xdr:clientData/>
  </xdr:twoCellAnchor>
  <xdr:twoCellAnchor editAs="absolute">
    <xdr:from>
      <xdr:col>1</xdr:col>
      <xdr:colOff>369278</xdr:colOff>
      <xdr:row>3</xdr:row>
      <xdr:rowOff>117231</xdr:rowOff>
    </xdr:from>
    <xdr:to>
      <xdr:col>3</xdr:col>
      <xdr:colOff>211016</xdr:colOff>
      <xdr:row>4</xdr:row>
      <xdr:rowOff>128953</xdr:rowOff>
    </xdr:to>
    <xdr:sp macro="" textlink="Dashboard!$A$5">
      <xdr:nvSpPr>
        <xdr:cNvPr id="39" name="TextBox 38">
          <a:extLst>
            <a:ext uri="{FF2B5EF4-FFF2-40B4-BE49-F238E27FC236}">
              <a16:creationId xmlns:a16="http://schemas.microsoft.com/office/drawing/2014/main" id="{145ADAF9-E0BC-49BA-ADB3-7FF9EBF05ADD}"/>
            </a:ext>
          </a:extLst>
        </xdr:cNvPr>
        <xdr:cNvSpPr txBox="1"/>
      </xdr:nvSpPr>
      <xdr:spPr>
        <a:xfrm>
          <a:off x="978878" y="662354"/>
          <a:ext cx="1060938" cy="193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8B0AE8D-FB83-46E9-9485-ABD8944F678D}" type="TxLink">
            <a:rPr lang="en-US" sz="1100" b="1" i="0" u="none" strike="noStrike">
              <a:solidFill>
                <a:srgbClr val="F1FAC2"/>
              </a:solidFill>
              <a:latin typeface="Calibri"/>
              <a:ea typeface="Calibri"/>
              <a:cs typeface="Calibri"/>
            </a:rPr>
            <a:pPr algn="ctr"/>
            <a:t>469</a:t>
          </a:fld>
          <a:endParaRPr lang="en-IN" sz="1100" b="1">
            <a:solidFill>
              <a:srgbClr val="F1FAC2"/>
            </a:solidFill>
          </a:endParaRPr>
        </a:p>
      </xdr:txBody>
    </xdr:sp>
    <xdr:clientData/>
  </xdr:twoCellAnchor>
  <xdr:twoCellAnchor editAs="absolute">
    <xdr:from>
      <xdr:col>1</xdr:col>
      <xdr:colOff>584556</xdr:colOff>
      <xdr:row>4</xdr:row>
      <xdr:rowOff>132153</xdr:rowOff>
    </xdr:from>
    <xdr:to>
      <xdr:col>3</xdr:col>
      <xdr:colOff>109771</xdr:colOff>
      <xdr:row>5</xdr:row>
      <xdr:rowOff>143876</xdr:rowOff>
    </xdr:to>
    <xdr:sp macro="" textlink="">
      <xdr:nvSpPr>
        <xdr:cNvPr id="40" name="TextBox 39">
          <a:extLst>
            <a:ext uri="{FF2B5EF4-FFF2-40B4-BE49-F238E27FC236}">
              <a16:creationId xmlns:a16="http://schemas.microsoft.com/office/drawing/2014/main" id="{7775D6D2-4BAC-47D5-ABA8-7CCD24031852}"/>
            </a:ext>
          </a:extLst>
        </xdr:cNvPr>
        <xdr:cNvSpPr txBox="1"/>
      </xdr:nvSpPr>
      <xdr:spPr>
        <a:xfrm>
          <a:off x="1194156" y="852589"/>
          <a:ext cx="744415" cy="191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1">
              <a:solidFill>
                <a:srgbClr val="F1FAC2"/>
              </a:solidFill>
            </a:rPr>
            <a:t>No.</a:t>
          </a:r>
          <a:r>
            <a:rPr lang="en-IN" sz="900" b="1" baseline="0">
              <a:solidFill>
                <a:srgbClr val="F1FAC2"/>
              </a:solidFill>
            </a:rPr>
            <a:t> of Patients</a:t>
          </a:r>
          <a:endParaRPr lang="en-IN" sz="900" b="1">
            <a:solidFill>
              <a:srgbClr val="F1FAC2"/>
            </a:solidFill>
          </a:endParaRPr>
        </a:p>
      </xdr:txBody>
    </xdr:sp>
    <xdr:clientData/>
  </xdr:twoCellAnchor>
  <xdr:twoCellAnchor editAs="absolute">
    <xdr:from>
      <xdr:col>3</xdr:col>
      <xdr:colOff>491836</xdr:colOff>
      <xdr:row>4</xdr:row>
      <xdr:rowOff>147605</xdr:rowOff>
    </xdr:from>
    <xdr:to>
      <xdr:col>5</xdr:col>
      <xdr:colOff>321853</xdr:colOff>
      <xdr:row>5</xdr:row>
      <xdr:rowOff>159328</xdr:rowOff>
    </xdr:to>
    <xdr:sp macro="" textlink="">
      <xdr:nvSpPr>
        <xdr:cNvPr id="41" name="TextBox 40">
          <a:extLst>
            <a:ext uri="{FF2B5EF4-FFF2-40B4-BE49-F238E27FC236}">
              <a16:creationId xmlns:a16="http://schemas.microsoft.com/office/drawing/2014/main" id="{924FC28D-C161-455A-BF50-B6DE06451C5D}"/>
            </a:ext>
          </a:extLst>
        </xdr:cNvPr>
        <xdr:cNvSpPr txBox="1"/>
      </xdr:nvSpPr>
      <xdr:spPr>
        <a:xfrm>
          <a:off x="2320636" y="868041"/>
          <a:ext cx="1049217" cy="191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50" b="1">
              <a:solidFill>
                <a:srgbClr val="F1FAC2"/>
              </a:solidFill>
            </a:rPr>
            <a:t>Avg.</a:t>
          </a:r>
          <a:r>
            <a:rPr lang="en-IN" sz="850" b="1" baseline="0">
              <a:solidFill>
                <a:srgbClr val="F1FAC2"/>
              </a:solidFill>
            </a:rPr>
            <a:t> Wait Time(Min)</a:t>
          </a:r>
          <a:endParaRPr lang="en-IN" sz="850" b="1">
            <a:solidFill>
              <a:srgbClr val="F1FAC2"/>
            </a:solidFill>
          </a:endParaRPr>
        </a:p>
      </xdr:txBody>
    </xdr:sp>
    <xdr:clientData/>
  </xdr:twoCellAnchor>
  <xdr:twoCellAnchor editAs="absolute">
    <xdr:from>
      <xdr:col>5</xdr:col>
      <xdr:colOff>414569</xdr:colOff>
      <xdr:row>4</xdr:row>
      <xdr:rowOff>149734</xdr:rowOff>
    </xdr:from>
    <xdr:to>
      <xdr:col>7</xdr:col>
      <xdr:colOff>420432</xdr:colOff>
      <xdr:row>5</xdr:row>
      <xdr:rowOff>179045</xdr:rowOff>
    </xdr:to>
    <xdr:sp macro="" textlink="">
      <xdr:nvSpPr>
        <xdr:cNvPr id="42" name="TextBox 41">
          <a:extLst>
            <a:ext uri="{FF2B5EF4-FFF2-40B4-BE49-F238E27FC236}">
              <a16:creationId xmlns:a16="http://schemas.microsoft.com/office/drawing/2014/main" id="{31EA0E14-4D25-456A-9F1F-969B6F28ECCA}"/>
            </a:ext>
          </a:extLst>
        </xdr:cNvPr>
        <xdr:cNvSpPr txBox="1"/>
      </xdr:nvSpPr>
      <xdr:spPr>
        <a:xfrm>
          <a:off x="3462569" y="870170"/>
          <a:ext cx="1225063" cy="209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850" b="1">
              <a:solidFill>
                <a:srgbClr val="F1FAC2"/>
              </a:solidFill>
            </a:rPr>
            <a:t>Patient</a:t>
          </a:r>
          <a:r>
            <a:rPr lang="en-IN" sz="850" b="1" baseline="0">
              <a:solidFill>
                <a:srgbClr val="F1FAC2"/>
              </a:solidFill>
            </a:rPr>
            <a:t> Satisfaction Score</a:t>
          </a:r>
          <a:endParaRPr lang="en-IN" sz="850" b="1">
            <a:solidFill>
              <a:srgbClr val="F1FAC2"/>
            </a:solidFill>
          </a:endParaRPr>
        </a:p>
      </xdr:txBody>
    </xdr:sp>
    <xdr:clientData/>
  </xdr:twoCellAnchor>
  <xdr:twoCellAnchor editAs="absolute">
    <xdr:from>
      <xdr:col>3</xdr:col>
      <xdr:colOff>421496</xdr:colOff>
      <xdr:row>3</xdr:row>
      <xdr:rowOff>125756</xdr:rowOff>
    </xdr:from>
    <xdr:to>
      <xdr:col>5</xdr:col>
      <xdr:colOff>263234</xdr:colOff>
      <xdr:row>4</xdr:row>
      <xdr:rowOff>137478</xdr:rowOff>
    </xdr:to>
    <xdr:sp macro="" textlink="PivotReport!A9">
      <xdr:nvSpPr>
        <xdr:cNvPr id="43" name="TextBox 42">
          <a:extLst>
            <a:ext uri="{FF2B5EF4-FFF2-40B4-BE49-F238E27FC236}">
              <a16:creationId xmlns:a16="http://schemas.microsoft.com/office/drawing/2014/main" id="{95605285-92A5-4D1A-BB64-43B957A4DE22}"/>
            </a:ext>
          </a:extLst>
        </xdr:cNvPr>
        <xdr:cNvSpPr txBox="1"/>
      </xdr:nvSpPr>
      <xdr:spPr>
        <a:xfrm>
          <a:off x="2250296" y="666083"/>
          <a:ext cx="1060938" cy="191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A6DD4FE-3F6A-4317-9764-AD27EE0805BF}" type="TxLink">
            <a:rPr lang="en-US" sz="1100" b="1" i="0" u="none" strike="noStrike">
              <a:solidFill>
                <a:srgbClr val="F1FAC2"/>
              </a:solidFill>
              <a:latin typeface="Calibri"/>
              <a:ea typeface="Calibri"/>
              <a:cs typeface="Calibri"/>
            </a:rPr>
            <a:pPr algn="ctr"/>
            <a:t>34.97</a:t>
          </a:fld>
          <a:endParaRPr lang="en-IN" sz="1100" b="1">
            <a:solidFill>
              <a:srgbClr val="F1FAC2"/>
            </a:solidFill>
          </a:endParaRPr>
        </a:p>
      </xdr:txBody>
    </xdr:sp>
    <xdr:clientData/>
  </xdr:twoCellAnchor>
  <xdr:twoCellAnchor editAs="absolute">
    <xdr:from>
      <xdr:col>5</xdr:col>
      <xdr:colOff>422032</xdr:colOff>
      <xdr:row>3</xdr:row>
      <xdr:rowOff>130552</xdr:rowOff>
    </xdr:from>
    <xdr:to>
      <xdr:col>7</xdr:col>
      <xdr:colOff>263770</xdr:colOff>
      <xdr:row>4</xdr:row>
      <xdr:rowOff>142274</xdr:rowOff>
    </xdr:to>
    <xdr:sp macro="" textlink="PivotReport!A12">
      <xdr:nvSpPr>
        <xdr:cNvPr id="44" name="TextBox 43">
          <a:extLst>
            <a:ext uri="{FF2B5EF4-FFF2-40B4-BE49-F238E27FC236}">
              <a16:creationId xmlns:a16="http://schemas.microsoft.com/office/drawing/2014/main" id="{B933F7D5-2EF4-4536-8425-40A36AF40425}"/>
            </a:ext>
          </a:extLst>
        </xdr:cNvPr>
        <xdr:cNvSpPr txBox="1"/>
      </xdr:nvSpPr>
      <xdr:spPr>
        <a:xfrm>
          <a:off x="3470032" y="670879"/>
          <a:ext cx="1060938" cy="191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1F6230C-4E89-4BDB-B505-E23420BBB1ED}" type="TxLink">
            <a:rPr lang="en-US" sz="1100" b="1" i="0" u="none" strike="noStrike">
              <a:solidFill>
                <a:srgbClr val="F1FAC2"/>
              </a:solidFill>
              <a:latin typeface="Calibri"/>
              <a:ea typeface="Calibri"/>
              <a:cs typeface="Calibri"/>
            </a:rPr>
            <a:pPr algn="ctr"/>
            <a:t>4.63</a:t>
          </a:fld>
          <a:endParaRPr lang="en-IN" sz="1100" b="1">
            <a:solidFill>
              <a:srgbClr val="F1FAC2"/>
            </a:solidFill>
          </a:endParaRPr>
        </a:p>
      </xdr:txBody>
    </xdr:sp>
    <xdr:clientData/>
  </xdr:twoCellAnchor>
  <xdr:twoCellAnchor editAs="oneCell">
    <xdr:from>
      <xdr:col>3</xdr:col>
      <xdr:colOff>70338</xdr:colOff>
      <xdr:row>3</xdr:row>
      <xdr:rowOff>64476</xdr:rowOff>
    </xdr:from>
    <xdr:to>
      <xdr:col>3</xdr:col>
      <xdr:colOff>293075</xdr:colOff>
      <xdr:row>4</xdr:row>
      <xdr:rowOff>105505</xdr:rowOff>
    </xdr:to>
    <xdr:pic>
      <xdr:nvPicPr>
        <xdr:cNvPr id="4" name="Graphic 3" descr="Male profile with solid fill">
          <a:extLst>
            <a:ext uri="{FF2B5EF4-FFF2-40B4-BE49-F238E27FC236}">
              <a16:creationId xmlns:a16="http://schemas.microsoft.com/office/drawing/2014/main" id="{5D11C1FA-7E32-2FF6-1DB6-612C62A9307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99138" y="609599"/>
          <a:ext cx="222737" cy="222737"/>
        </a:xfrm>
        <a:prstGeom prst="rect">
          <a:avLst/>
        </a:prstGeom>
      </xdr:spPr>
    </xdr:pic>
    <xdr:clientData/>
  </xdr:twoCellAnchor>
  <xdr:twoCellAnchor editAs="oneCell">
    <xdr:from>
      <xdr:col>7</xdr:col>
      <xdr:colOff>111367</xdr:colOff>
      <xdr:row>3</xdr:row>
      <xdr:rowOff>70338</xdr:rowOff>
    </xdr:from>
    <xdr:to>
      <xdr:col>7</xdr:col>
      <xdr:colOff>369275</xdr:colOff>
      <xdr:row>4</xdr:row>
      <xdr:rowOff>146538</xdr:rowOff>
    </xdr:to>
    <xdr:pic>
      <xdr:nvPicPr>
        <xdr:cNvPr id="11" name="Graphic 10" descr="Customer review with solid fill">
          <a:extLst>
            <a:ext uri="{FF2B5EF4-FFF2-40B4-BE49-F238E27FC236}">
              <a16:creationId xmlns:a16="http://schemas.microsoft.com/office/drawing/2014/main" id="{F149C338-0194-816B-A6BD-53BC8C1276A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378567" y="615461"/>
          <a:ext cx="257908" cy="257908"/>
        </a:xfrm>
        <a:prstGeom prst="rect">
          <a:avLst/>
        </a:prstGeom>
      </xdr:spPr>
    </xdr:pic>
    <xdr:clientData/>
  </xdr:twoCellAnchor>
  <xdr:twoCellAnchor editAs="oneCell">
    <xdr:from>
      <xdr:col>5</xdr:col>
      <xdr:colOff>128949</xdr:colOff>
      <xdr:row>3</xdr:row>
      <xdr:rowOff>82061</xdr:rowOff>
    </xdr:from>
    <xdr:to>
      <xdr:col>5</xdr:col>
      <xdr:colOff>328242</xdr:colOff>
      <xdr:row>4</xdr:row>
      <xdr:rowOff>99646</xdr:rowOff>
    </xdr:to>
    <xdr:pic>
      <xdr:nvPicPr>
        <xdr:cNvPr id="13" name="Graphic 12" descr="Hourglass Finished with solid fill">
          <a:extLst>
            <a:ext uri="{FF2B5EF4-FFF2-40B4-BE49-F238E27FC236}">
              <a16:creationId xmlns:a16="http://schemas.microsoft.com/office/drawing/2014/main" id="{90AF4628-F49D-CC5E-BF30-8EF929924E7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176949" y="627184"/>
          <a:ext cx="199293" cy="199293"/>
        </a:xfrm>
        <a:prstGeom prst="rect">
          <a:avLst/>
        </a:prstGeom>
      </xdr:spPr>
    </xdr:pic>
    <xdr:clientData/>
  </xdr:twoCellAnchor>
  <xdr:twoCellAnchor editAs="oneCell">
    <xdr:from>
      <xdr:col>0</xdr:col>
      <xdr:colOff>46892</xdr:colOff>
      <xdr:row>3</xdr:row>
      <xdr:rowOff>76200</xdr:rowOff>
    </xdr:from>
    <xdr:to>
      <xdr:col>1</xdr:col>
      <xdr:colOff>220742</xdr:colOff>
      <xdr:row>19</xdr:row>
      <xdr:rowOff>145474</xdr:rowOff>
    </xdr:to>
    <mc:AlternateContent xmlns:mc="http://schemas.openxmlformats.org/markup-compatibility/2006" xmlns:a14="http://schemas.microsoft.com/office/drawing/2010/main">
      <mc:Choice Requires="a14">
        <xdr:graphicFrame macro="">
          <xdr:nvGraphicFramePr>
            <xdr:cNvPr id="16" name="Date (Month) 1">
              <a:extLst>
                <a:ext uri="{FF2B5EF4-FFF2-40B4-BE49-F238E27FC236}">
                  <a16:creationId xmlns:a16="http://schemas.microsoft.com/office/drawing/2014/main" id="{FFE1CC30-F021-4C77-89C3-827C61B232E6}"/>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46892" y="616527"/>
              <a:ext cx="783450" cy="2964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46893</xdr:colOff>
      <xdr:row>4</xdr:row>
      <xdr:rowOff>11723</xdr:rowOff>
    </xdr:from>
    <xdr:to>
      <xdr:col>3</xdr:col>
      <xdr:colOff>392723</xdr:colOff>
      <xdr:row>10</xdr:row>
      <xdr:rowOff>123092</xdr:rowOff>
    </xdr:to>
    <xdr:graphicFrame macro="">
      <xdr:nvGraphicFramePr>
        <xdr:cNvPr id="18" name="Chart 17">
          <a:hlinkClick xmlns:r="http://schemas.openxmlformats.org/officeDocument/2006/relationships" r:id="rId8"/>
          <a:extLst>
            <a:ext uri="{FF2B5EF4-FFF2-40B4-BE49-F238E27FC236}">
              <a16:creationId xmlns:a16="http://schemas.microsoft.com/office/drawing/2014/main" id="{ECD69EC1-0C1D-4E9D-A492-949D72661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263768</xdr:colOff>
      <xdr:row>5</xdr:row>
      <xdr:rowOff>105509</xdr:rowOff>
    </xdr:from>
    <xdr:to>
      <xdr:col>5</xdr:col>
      <xdr:colOff>451337</xdr:colOff>
      <xdr:row>7</xdr:row>
      <xdr:rowOff>169984</xdr:rowOff>
    </xdr:to>
    <xdr:graphicFrame macro="">
      <xdr:nvGraphicFramePr>
        <xdr:cNvPr id="19" name="Chart 18">
          <a:hlinkClick xmlns:r="http://schemas.openxmlformats.org/officeDocument/2006/relationships" r:id="rId10"/>
          <a:extLst>
            <a:ext uri="{FF2B5EF4-FFF2-40B4-BE49-F238E27FC236}">
              <a16:creationId xmlns:a16="http://schemas.microsoft.com/office/drawing/2014/main" id="{18D0B99F-D553-47F3-9BEB-8B22A01DB4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222740</xdr:colOff>
      <xdr:row>4</xdr:row>
      <xdr:rowOff>131619</xdr:rowOff>
    </xdr:from>
    <xdr:to>
      <xdr:col>7</xdr:col>
      <xdr:colOff>515816</xdr:colOff>
      <xdr:row>8</xdr:row>
      <xdr:rowOff>87923</xdr:rowOff>
    </xdr:to>
    <xdr:graphicFrame macro="">
      <xdr:nvGraphicFramePr>
        <xdr:cNvPr id="20" name="Chart 19">
          <a:hlinkClick xmlns:r="http://schemas.openxmlformats.org/officeDocument/2006/relationships" r:id="rId12"/>
          <a:extLst>
            <a:ext uri="{FF2B5EF4-FFF2-40B4-BE49-F238E27FC236}">
              <a16:creationId xmlns:a16="http://schemas.microsoft.com/office/drawing/2014/main" id="{68A35725-59C8-45E2-ADFD-BB429B78F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310662</xdr:colOff>
          <xdr:row>8</xdr:row>
          <xdr:rowOff>27710</xdr:rowOff>
        </xdr:from>
        <xdr:to>
          <xdr:col>7</xdr:col>
          <xdr:colOff>379504</xdr:colOff>
          <xdr:row>10</xdr:row>
          <xdr:rowOff>164124</xdr:rowOff>
        </xdr:to>
        <xdr:pic>
          <xdr:nvPicPr>
            <xdr:cNvPr id="35" name="Picture 34">
              <a:extLst>
                <a:ext uri="{FF2B5EF4-FFF2-40B4-BE49-F238E27FC236}">
                  <a16:creationId xmlns:a16="http://schemas.microsoft.com/office/drawing/2014/main" id="{FA820346-33A0-BAF2-6F00-C7012538E5A7}"/>
                </a:ext>
              </a:extLst>
            </xdr:cNvPr>
            <xdr:cNvPicPr>
              <a:picLocks noChangeAspect="1" noChangeArrowheads="1"/>
              <a:extLst>
                <a:ext uri="{84589F7E-364E-4C9E-8A38-B11213B215E9}">
                  <a14:cameraTool cellRange="PivotReport!$A$44:$D$46" spid="_x0000_s1036"/>
                </a:ext>
              </a:extLst>
            </xdr:cNvPicPr>
          </xdr:nvPicPr>
          <xdr:blipFill>
            <a:blip xmlns:r="http://schemas.openxmlformats.org/officeDocument/2006/relationships" r:embed="rId14"/>
            <a:srcRect/>
            <a:stretch>
              <a:fillRect/>
            </a:stretch>
          </xdr:blipFill>
          <xdr:spPr bwMode="auto">
            <a:xfrm>
              <a:off x="920262" y="1468583"/>
              <a:ext cx="3726442" cy="49663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345831</xdr:colOff>
      <xdr:row>11</xdr:row>
      <xdr:rowOff>124691</xdr:rowOff>
    </xdr:from>
    <xdr:to>
      <xdr:col>7</xdr:col>
      <xdr:colOff>269630</xdr:colOff>
      <xdr:row>18</xdr:row>
      <xdr:rowOff>156664</xdr:rowOff>
    </xdr:to>
    <xdr:graphicFrame macro="">
      <xdr:nvGraphicFramePr>
        <xdr:cNvPr id="37" name="Chart 36">
          <a:extLst>
            <a:ext uri="{FF2B5EF4-FFF2-40B4-BE49-F238E27FC236}">
              <a16:creationId xmlns:a16="http://schemas.microsoft.com/office/drawing/2014/main" id="{761A1C28-0451-4A47-B541-8EA0DF681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106574</xdr:colOff>
      <xdr:row>18</xdr:row>
      <xdr:rowOff>187569</xdr:rowOff>
    </xdr:from>
    <xdr:to>
      <xdr:col>6</xdr:col>
      <xdr:colOff>94852</xdr:colOff>
      <xdr:row>20</xdr:row>
      <xdr:rowOff>5329</xdr:rowOff>
    </xdr:to>
    <xdr:sp macro="" textlink="">
      <xdr:nvSpPr>
        <xdr:cNvPr id="45" name="TextBox 44">
          <a:extLst>
            <a:ext uri="{FF2B5EF4-FFF2-40B4-BE49-F238E27FC236}">
              <a16:creationId xmlns:a16="http://schemas.microsoft.com/office/drawing/2014/main" id="{41E1CBD5-9718-42FA-92C1-D371C01ED37F}"/>
            </a:ext>
          </a:extLst>
        </xdr:cNvPr>
        <xdr:cNvSpPr txBox="1"/>
      </xdr:nvSpPr>
      <xdr:spPr>
        <a:xfrm>
          <a:off x="1935374" y="3429533"/>
          <a:ext cx="1817078" cy="191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50" b="1">
              <a:solidFill>
                <a:srgbClr val="F1FAC2"/>
              </a:solidFill>
            </a:rPr>
            <a:t>No.</a:t>
          </a:r>
          <a:r>
            <a:rPr lang="en-IN" sz="950" b="1" baseline="0">
              <a:solidFill>
                <a:srgbClr val="F1FAC2"/>
              </a:solidFill>
            </a:rPr>
            <a:t> of Patients by Age Group</a:t>
          </a:r>
          <a:endParaRPr lang="en-IN" sz="950" b="1">
            <a:solidFill>
              <a:srgbClr val="F1FAC2"/>
            </a:solidFill>
          </a:endParaRPr>
        </a:p>
      </xdr:txBody>
    </xdr:sp>
    <xdr:clientData/>
  </xdr:twoCellAnchor>
  <xdr:twoCellAnchor>
    <xdr:from>
      <xdr:col>7</xdr:col>
      <xdr:colOff>452120</xdr:colOff>
      <xdr:row>0</xdr:row>
      <xdr:rowOff>71120</xdr:rowOff>
    </xdr:from>
    <xdr:to>
      <xdr:col>10</xdr:col>
      <xdr:colOff>198120</xdr:colOff>
      <xdr:row>6</xdr:row>
      <xdr:rowOff>177800</xdr:rowOff>
    </xdr:to>
    <xdr:graphicFrame macro="">
      <xdr:nvGraphicFramePr>
        <xdr:cNvPr id="46" name="Chart 45">
          <a:extLst>
            <a:ext uri="{FF2B5EF4-FFF2-40B4-BE49-F238E27FC236}">
              <a16:creationId xmlns:a16="http://schemas.microsoft.com/office/drawing/2014/main" id="{F62FF741-3776-49D4-BBC7-678B77D636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10</xdr:col>
      <xdr:colOff>259080</xdr:colOff>
      <xdr:row>0</xdr:row>
      <xdr:rowOff>40640</xdr:rowOff>
    </xdr:from>
    <xdr:to>
      <xdr:col>13</xdr:col>
      <xdr:colOff>87533</xdr:colOff>
      <xdr:row>7</xdr:row>
      <xdr:rowOff>173892</xdr:rowOff>
    </xdr:to>
    <xdr:sp macro="" textlink="">
      <xdr:nvSpPr>
        <xdr:cNvPr id="47" name="Rectangle: Rounded Corners 46">
          <a:extLst>
            <a:ext uri="{FF2B5EF4-FFF2-40B4-BE49-F238E27FC236}">
              <a16:creationId xmlns:a16="http://schemas.microsoft.com/office/drawing/2014/main" id="{FBFEAF74-B76C-47D4-AABB-0047117A0AC7}"/>
            </a:ext>
          </a:extLst>
        </xdr:cNvPr>
        <xdr:cNvSpPr/>
      </xdr:nvSpPr>
      <xdr:spPr>
        <a:xfrm>
          <a:off x="6355080" y="40640"/>
          <a:ext cx="1657253" cy="1413412"/>
        </a:xfrm>
        <a:prstGeom prst="roundRect">
          <a:avLst>
            <a:gd name="adj" fmla="val 3394"/>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587327</xdr:colOff>
      <xdr:row>7</xdr:row>
      <xdr:rowOff>5082</xdr:rowOff>
    </xdr:from>
    <xdr:to>
      <xdr:col>10</xdr:col>
      <xdr:colOff>187960</xdr:colOff>
      <xdr:row>8</xdr:row>
      <xdr:rowOff>16805</xdr:rowOff>
    </xdr:to>
    <xdr:sp macro="" textlink="">
      <xdr:nvSpPr>
        <xdr:cNvPr id="50" name="TextBox 49">
          <a:extLst>
            <a:ext uri="{FF2B5EF4-FFF2-40B4-BE49-F238E27FC236}">
              <a16:creationId xmlns:a16="http://schemas.microsoft.com/office/drawing/2014/main" id="{CAA578D7-B2E2-4CE5-8BD8-BC3F6DB82C77}"/>
            </a:ext>
          </a:extLst>
        </xdr:cNvPr>
        <xdr:cNvSpPr txBox="1"/>
      </xdr:nvSpPr>
      <xdr:spPr>
        <a:xfrm>
          <a:off x="4854527" y="1285242"/>
          <a:ext cx="1429433" cy="19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1">
              <a:solidFill>
                <a:srgbClr val="F1FAC2"/>
              </a:solidFill>
            </a:rPr>
            <a:t>Patients</a:t>
          </a:r>
          <a:r>
            <a:rPr lang="en-IN" sz="800" b="1" baseline="0">
              <a:solidFill>
                <a:srgbClr val="F1FAC2"/>
              </a:solidFill>
            </a:rPr>
            <a:t> Attended within Time</a:t>
          </a:r>
          <a:endParaRPr lang="en-IN" sz="800" b="1">
            <a:solidFill>
              <a:srgbClr val="F1FAC2"/>
            </a:solidFill>
          </a:endParaRPr>
        </a:p>
      </xdr:txBody>
    </xdr:sp>
    <xdr:clientData/>
  </xdr:twoCellAnchor>
  <xdr:twoCellAnchor>
    <xdr:from>
      <xdr:col>10</xdr:col>
      <xdr:colOff>259080</xdr:colOff>
      <xdr:row>0</xdr:row>
      <xdr:rowOff>40641</xdr:rowOff>
    </xdr:from>
    <xdr:to>
      <xdr:col>13</xdr:col>
      <xdr:colOff>76200</xdr:colOff>
      <xdr:row>7</xdr:row>
      <xdr:rowOff>25401</xdr:rowOff>
    </xdr:to>
    <xdr:graphicFrame macro="">
      <xdr:nvGraphicFramePr>
        <xdr:cNvPr id="51" name="Chart 50">
          <a:extLst>
            <a:ext uri="{FF2B5EF4-FFF2-40B4-BE49-F238E27FC236}">
              <a16:creationId xmlns:a16="http://schemas.microsoft.com/office/drawing/2014/main" id="{BF7D683A-77D6-486B-BB32-C1ADC1F6BB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11</xdr:col>
      <xdr:colOff>20320</xdr:colOff>
      <xdr:row>7</xdr:row>
      <xdr:rowOff>20320</xdr:rowOff>
    </xdr:from>
    <xdr:to>
      <xdr:col>13</xdr:col>
      <xdr:colOff>230553</xdr:colOff>
      <xdr:row>8</xdr:row>
      <xdr:rowOff>32043</xdr:rowOff>
    </xdr:to>
    <xdr:sp macro="" textlink="">
      <xdr:nvSpPr>
        <xdr:cNvPr id="53" name="TextBox 52">
          <a:extLst>
            <a:ext uri="{FF2B5EF4-FFF2-40B4-BE49-F238E27FC236}">
              <a16:creationId xmlns:a16="http://schemas.microsoft.com/office/drawing/2014/main" id="{45C842FA-D9D7-4667-910F-E68C2653D4CA}"/>
            </a:ext>
          </a:extLst>
        </xdr:cNvPr>
        <xdr:cNvSpPr txBox="1"/>
      </xdr:nvSpPr>
      <xdr:spPr>
        <a:xfrm>
          <a:off x="6725920" y="1300480"/>
          <a:ext cx="1429433" cy="19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1">
              <a:solidFill>
                <a:srgbClr val="F1FAC2"/>
              </a:solidFill>
            </a:rPr>
            <a:t>Gender</a:t>
          </a:r>
          <a:r>
            <a:rPr lang="en-IN" sz="800" b="1" baseline="0">
              <a:solidFill>
                <a:srgbClr val="F1FAC2"/>
              </a:solidFill>
            </a:rPr>
            <a:t> wise Analysis</a:t>
          </a:r>
        </a:p>
        <a:p>
          <a:endParaRPr lang="en-IN" sz="800" b="1">
            <a:solidFill>
              <a:srgbClr val="F1FAC2"/>
            </a:solidFill>
          </a:endParaRPr>
        </a:p>
      </xdr:txBody>
    </xdr:sp>
    <xdr:clientData/>
  </xdr:twoCellAnchor>
  <xdr:twoCellAnchor>
    <xdr:from>
      <xdr:col>7</xdr:col>
      <xdr:colOff>508000</xdr:colOff>
      <xdr:row>8</xdr:row>
      <xdr:rowOff>30479</xdr:rowOff>
    </xdr:from>
    <xdr:to>
      <xdr:col>12</xdr:col>
      <xdr:colOff>594360</xdr:colOff>
      <xdr:row>18</xdr:row>
      <xdr:rowOff>145472</xdr:rowOff>
    </xdr:to>
    <xdr:graphicFrame macro="">
      <xdr:nvGraphicFramePr>
        <xdr:cNvPr id="54" name="Chart 53">
          <a:extLst>
            <a:ext uri="{FF2B5EF4-FFF2-40B4-BE49-F238E27FC236}">
              <a16:creationId xmlns:a16="http://schemas.microsoft.com/office/drawing/2014/main" id="{0F7DBB7B-5D2C-485A-ABE4-33ECF3E1D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8</xdr:col>
      <xdr:colOff>482600</xdr:colOff>
      <xdr:row>18</xdr:row>
      <xdr:rowOff>156095</xdr:rowOff>
    </xdr:from>
    <xdr:to>
      <xdr:col>12</xdr:col>
      <xdr:colOff>76200</xdr:colOff>
      <xdr:row>19</xdr:row>
      <xdr:rowOff>153964</xdr:rowOff>
    </xdr:to>
    <xdr:sp macro="" textlink="">
      <xdr:nvSpPr>
        <xdr:cNvPr id="55" name="TextBox 54">
          <a:extLst>
            <a:ext uri="{FF2B5EF4-FFF2-40B4-BE49-F238E27FC236}">
              <a16:creationId xmlns:a16="http://schemas.microsoft.com/office/drawing/2014/main" id="{37E1B063-599F-4F1C-BCF1-EBD349CF623E}"/>
            </a:ext>
          </a:extLst>
        </xdr:cNvPr>
        <xdr:cNvSpPr txBox="1"/>
      </xdr:nvSpPr>
      <xdr:spPr>
        <a:xfrm>
          <a:off x="5359400" y="3398059"/>
          <a:ext cx="2032000" cy="191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1">
              <a:solidFill>
                <a:srgbClr val="F1FAC2"/>
              </a:solidFill>
            </a:rPr>
            <a:t>No.</a:t>
          </a:r>
          <a:r>
            <a:rPr lang="en-IN" sz="900" b="1" baseline="0">
              <a:solidFill>
                <a:srgbClr val="F1FAC2"/>
              </a:solidFill>
            </a:rPr>
            <a:t> of Patients by Department Referral</a:t>
          </a:r>
          <a:endParaRPr lang="en-IN" sz="900" b="1">
            <a:solidFill>
              <a:srgbClr val="F1FAC2"/>
            </a:solidFill>
          </a:endParaRPr>
        </a:p>
      </xdr:txBody>
    </xdr:sp>
    <xdr:clientData/>
  </xdr:twoCellAnchor>
  <xdr:twoCellAnchor editAs="oneCell">
    <xdr:from>
      <xdr:col>5</xdr:col>
      <xdr:colOff>512617</xdr:colOff>
      <xdr:row>0</xdr:row>
      <xdr:rowOff>69273</xdr:rowOff>
    </xdr:from>
    <xdr:to>
      <xdr:col>7</xdr:col>
      <xdr:colOff>374072</xdr:colOff>
      <xdr:row>2</xdr:row>
      <xdr:rowOff>131619</xdr:rowOff>
    </xdr:to>
    <mc:AlternateContent xmlns:mc="http://schemas.openxmlformats.org/markup-compatibility/2006" xmlns:a14="http://schemas.microsoft.com/office/drawing/2010/main">
      <mc:Choice Requires="a14">
        <xdr:graphicFrame macro="">
          <xdr:nvGraphicFramePr>
            <xdr:cNvPr id="56" name="Date (Year) 1">
              <a:extLst>
                <a:ext uri="{FF2B5EF4-FFF2-40B4-BE49-F238E27FC236}">
                  <a16:creationId xmlns:a16="http://schemas.microsoft.com/office/drawing/2014/main" id="{AAAD5C15-1400-4A91-8463-FBA034DA013C}"/>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560617" y="69273"/>
              <a:ext cx="1080655" cy="4225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320040</xdr:colOff>
      <xdr:row>19</xdr:row>
      <xdr:rowOff>167640</xdr:rowOff>
    </xdr:to>
    <xdr:graphicFrame macro="">
      <xdr:nvGraphicFramePr>
        <xdr:cNvPr id="2" name="Chart 1">
          <a:extLst>
            <a:ext uri="{FF2B5EF4-FFF2-40B4-BE49-F238E27FC236}">
              <a16:creationId xmlns:a16="http://schemas.microsoft.com/office/drawing/2014/main" id="{9F256557-90B7-4517-8BBB-A286B1CCA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0.05162</cdr:x>
      <cdr:y>0.15481</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33F7089-FBC5-C18C-82D9-46669B61ECC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33400" cy="56388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266700</xdr:colOff>
      <xdr:row>21</xdr:row>
      <xdr:rowOff>175260</xdr:rowOff>
    </xdr:to>
    <xdr:graphicFrame macro="">
      <xdr:nvGraphicFramePr>
        <xdr:cNvPr id="2" name="Chart 1">
          <a:extLst>
            <a:ext uri="{FF2B5EF4-FFF2-40B4-BE49-F238E27FC236}">
              <a16:creationId xmlns:a16="http://schemas.microsoft.com/office/drawing/2014/main" id="{8D81A720-C684-43FE-B81A-5428F2F93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0.04343</cdr:x>
      <cdr:y>0.13707</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307B61E-BD5F-3C53-2401-3D64D13F076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41020" cy="54102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365760</xdr:colOff>
      <xdr:row>19</xdr:row>
      <xdr:rowOff>7620</xdr:rowOff>
    </xdr:to>
    <xdr:graphicFrame macro="">
      <xdr:nvGraphicFramePr>
        <xdr:cNvPr id="2" name="Chart 1">
          <a:extLst>
            <a:ext uri="{FF2B5EF4-FFF2-40B4-BE49-F238E27FC236}">
              <a16:creationId xmlns:a16="http://schemas.microsoft.com/office/drawing/2014/main" id="{7B74C712-674A-4BB7-BDB8-BB5FC9032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0.00198</cdr:x>
      <cdr:y>0.00219</cdr:y>
    </cdr:from>
    <cdr:to>
      <cdr:x>0.06647</cdr:x>
      <cdr:y>0.14442</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B3DB9B6-E2CE-BF98-79A2-4BA91C38703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5240" y="7620"/>
          <a:ext cx="495300" cy="4953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036.714728472223" createdVersion="5" refreshedVersion="8" minRefreshableVersion="3" recordCount="0" supportSubquery="1" supportAdvancedDrill="1" xr:uid="{6BCDA807-CEBA-4FF1-8F92-B61524338DD0}">
  <cacheSource type="external" connectionId="3"/>
  <cacheFields count="2">
    <cacheField name="[Measures].[Average of Patient Waittime]" caption="Average of Patient Waittime" numFmtId="0" hierarchy="26" level="32767"/>
    <cacheField name="[CalenderTable].[Date (Month)].[Date (Month)]" caption="Date (Month)" numFmtId="0" hierarchy="1"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0" memberValueDatatype="130" unbalanced="0"/>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036.714758796297" createdVersion="5" refreshedVersion="8" minRefreshableVersion="3" recordCount="0" supportSubquery="1" supportAdvancedDrill="1" xr:uid="{B28A1071-D5A4-47E8-A96E-61AF9D30D719}">
  <cacheSource type="external" connectionId="3"/>
  <cacheFields count="4">
    <cacheField name="[CalenderTable].[Date (Month)].[Date (Month)]" caption="Date (Month)" numFmtId="0" hierarchy="1" level="1">
      <sharedItems count="1">
        <s v="Jan"/>
      </sharedItems>
    </cacheField>
    <cacheField name="[Calender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Table].[Date (Quarter)].[Date (Quarter)]" caption="Date (Quarter)" numFmtId="0" hierarchy="4" level="1">
      <sharedItems count="1">
        <s v="Qtr1"/>
      </sharedItems>
    </cacheField>
    <cacheField name="[CalenderTable].[Date (Year)].[Date (Year)]" caption="Date (Year)" numFmtId="0" hierarchy="3" level="1">
      <sharedItems count="1">
        <s v="2024"/>
      </sharedItems>
    </cacheField>
  </cacheFields>
  <cacheHierarchies count="34">
    <cacheHierarchy uniqueName="[CalenderTable].[Date]" caption="Date" attribute="1" time="1" defaultMemberUniqueName="[CalenderTable].[Date].[All]" allUniqueName="[CalenderTable].[Date].[All]" dimensionUniqueName="[CalenderTable]" displayFolder="" count="2" memberValueDatatype="7" unbalanced="0">
      <fieldsUsage count="2">
        <fieldUsage x="-1"/>
        <fieldUsage x="1"/>
      </fieldsUsage>
    </cacheHierarchy>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2"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Table].[Date (Day Index)]" caption="Date (Day Index)" attribute="1" defaultMemberUniqueName="[CalenderTable].[Date (Day Index)].[All]" allUniqueName="[CalenderTable].[Date (Day Index)].[All]" dimensionUniqueName="[CalenderTable]" displayFolder="" count="2"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036.71475914352" createdVersion="5" refreshedVersion="8" minRefreshableVersion="3" recordCount="0" supportSubquery="1" supportAdvancedDrill="1" xr:uid="{D0EFD173-9554-4F17-8CCD-F4A1ADBD5D5C}">
  <cacheSource type="external" connectionId="3"/>
  <cacheFields count="3">
    <cacheField name="[Measures].[Distinct Count of Patient Id]" caption="Distinct Count of Patient Id" numFmtId="0" hierarchy="24" level="32767"/>
    <cacheField name="[CalenderTable].[Date (Month)].[Date (Month)]" caption="Date (Month)" numFmtId="0" hierarchy="1" level="1">
      <sharedItems containsSemiMixedTypes="0" containsNonDate="0" containsString="0"/>
    </cacheField>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2"/>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036.714759606482" createdVersion="5" refreshedVersion="8" minRefreshableVersion="3" recordCount="0" supportSubquery="1" supportAdvancedDrill="1" xr:uid="{760E8D1D-9D30-4862-AD98-999149874C55}">
  <cacheSource type="external" connectionId="3"/>
  <cacheFields count="4">
    <cacheField name="[CalenderTable].[Date (Month)].[Date (Month)]" caption="Date (Month)" numFmtId="0" hierarchy="1" level="1">
      <sharedItems containsSemiMixedTypes="0" containsNonDate="0" containsString="0"/>
    </cacheField>
    <cacheField name="[Measures].[Count of Patient Gender]" caption="Count of Patient Gender" numFmtId="0" hierarchy="32" level="32767"/>
    <cacheField name="[Hospital Emergency Room Data].[Patient Gender].[Patient Gender]" caption="Patient Gender" numFmtId="0" hierarchy="9" level="1">
      <sharedItems count="2">
        <s v="Female"/>
        <s v="Male"/>
      </sharedItems>
    </cacheField>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036.714760185183" createdVersion="5" refreshedVersion="8" minRefreshableVersion="3" recordCount="0" supportSubquery="1" supportAdvancedDrill="1" xr:uid="{10B9196D-F399-49C3-80C6-88EEDED00CC2}">
  <cacheSource type="external" connectionId="3"/>
  <cacheFields count="4">
    <cacheField name="[Calender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036.714760763891" createdVersion="5" refreshedVersion="8" minRefreshableVersion="3" recordCount="0" supportSubquery="1" supportAdvancedDrill="1" xr:uid="{65D0E524-73CA-429E-8635-0685D6D6B400}">
  <cacheSource type="external" connectionId="3"/>
  <cacheFields count="3">
    <cacheField name="[Measures].[Average of Patient Satisfaction Score]" caption="Average of Patient Satisfaction Score" numFmtId="0" hierarchy="28" level="32767"/>
    <cacheField name="[CalenderTable].[Date (Month)].[Date (Month)]" caption="Date (Month)" numFmtId="0" hierarchy="1" level="1">
      <sharedItems containsSemiMixedTypes="0" containsNonDate="0" containsString="0"/>
    </cacheField>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2"/>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036.714761805553" createdVersion="5" refreshedVersion="8" minRefreshableVersion="3" recordCount="0" supportSubquery="1" supportAdvancedDrill="1" xr:uid="{D82391A6-792D-4636-BAF8-4C6D38A9311D}">
  <cacheSource type="external" connectionId="3"/>
  <cacheFields count="4">
    <cacheField name="[Measures].[Distinct Count of Patient Id]" caption="Distinct Count of Patient Id" numFmtId="0" hierarchy="24" level="32767"/>
    <cacheField name="[CalenderTable].[Date (Day)].[Date (Day)]" caption="Date (Day)" numFmtId="0" hierarchy="2" level="1">
      <sharedItems count="31">
        <s v="1-Apr"/>
        <s v="2-Apr"/>
        <s v="3-Apr"/>
        <s v="4-Apr"/>
        <s v="5-Apr"/>
        <s v="6-Apr"/>
        <s v="7-Apr"/>
        <s v="8-Apr"/>
        <s v="9-Apr"/>
        <s v="10-Apr"/>
        <s v="11-Apr"/>
        <s v="12-Apr"/>
        <s v="13-Apr"/>
        <s v="14-Apr"/>
        <s v="15-Apr"/>
        <s v="16-Apr"/>
        <s v="17-Apr"/>
        <s v="18-Apr"/>
        <s v="19-Apr"/>
        <s v="20-Apr"/>
        <s v="21-Apr"/>
        <s v="22-Apr"/>
        <s v="23-Apr"/>
        <s v="24-Apr"/>
        <s v="25-Apr"/>
        <s v="26-Apr"/>
        <s v="27-Apr"/>
        <s v="28-Apr"/>
        <s v="29-Apr"/>
        <s v="30-Apr"/>
        <s v="26-Feb" u="1"/>
      </sharedItems>
    </cacheField>
    <cacheField name="[CalenderTable].[Date (Month)].[Date (Month)]" caption="Date (Month)" numFmtId="0" hierarchy="1" level="1">
      <sharedItems containsSemiMixedTypes="0" containsNonDate="0" containsString="0"/>
    </cacheField>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2"/>
      </fieldsUsage>
    </cacheHierarchy>
    <cacheHierarchy uniqueName="[CalenderTable].[Date (Day)]" caption="Date (Day)" attribute="1" defaultMemberUniqueName="[CalenderTable].[Date (Day)].[All]" allUniqueName="[CalenderTable].[Date (Day)].[All]" dimensionUniqueName="[CalenderTable]" displayFolder="" count="2" memberValueDatatype="130" unbalanced="0">
      <fieldsUsage count="2">
        <fieldUsage x="-1"/>
        <fieldUsage x="1"/>
      </fieldsUsage>
    </cacheHierarchy>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036.714762731484" createdVersion="5" refreshedVersion="8" minRefreshableVersion="3" recordCount="0" supportSubquery="1" supportAdvancedDrill="1" xr:uid="{75D64B4F-ABC3-4F9E-9519-B51A63F438A9}">
  <cacheSource type="external" connectionId="3"/>
  <cacheFields count="4">
    <cacheField name="[Calender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2" memberValueDatatype="130" unbalanced="0">
      <fieldsUsage count="2">
        <fieldUsage x="-1"/>
        <fieldUsage x="0"/>
      </fieldsUsage>
    </cacheHierarchy>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036.714763657408" createdVersion="5" refreshedVersion="8" minRefreshableVersion="3" recordCount="0" supportSubquery="1" supportAdvancedDrill="1" xr:uid="{A927A93A-44D7-4EDB-AD26-F23852B61801}">
  <cacheSource type="external" connectionId="3"/>
  <cacheFields count="4">
    <cacheField name="[CalenderTable].[Date (Day)].[Date (Day)]" caption="Date (Day)" numFmtId="0" hierarchy="2" level="1">
      <sharedItems count="27">
        <s v="2-Apr"/>
        <s v="3-Apr"/>
        <s v="4-Apr"/>
        <s v="5-Apr"/>
        <s v="6-Apr"/>
        <s v="7-Apr"/>
        <s v="8-Apr"/>
        <s v="9-Apr"/>
        <s v="11-Apr"/>
        <s v="12-Apr"/>
        <s v="13-Apr"/>
        <s v="14-Apr"/>
        <s v="15-Apr"/>
        <s v="16-Apr"/>
        <s v="17-Apr"/>
        <s v="18-Apr"/>
        <s v="19-Apr"/>
        <s v="20-Apr"/>
        <s v="22-Apr"/>
        <s v="23-Apr"/>
        <s v="24-Apr"/>
        <s v="25-Apr"/>
        <s v="26-Apr"/>
        <s v="27-Apr"/>
        <s v="28-Apr"/>
        <s v="29-Apr"/>
        <s v="30-Apr"/>
      </sharedItems>
    </cacheField>
    <cacheField name="[Calender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2" memberValueDatatype="130" unbalanced="0">
      <fieldsUsage count="2">
        <fieldUsage x="-1"/>
        <fieldUsage x="0"/>
      </fieldsUsage>
    </cacheHierarchy>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036.714764467593" createdVersion="5" refreshedVersion="8" minRefreshableVersion="3" recordCount="0" supportSubquery="1" supportAdvancedDrill="1" xr:uid="{87112AFC-94AE-4236-A399-8D8CD0B67B0B}">
  <cacheSource type="external" connectionId="3"/>
  <cacheFields count="5">
    <cacheField name="[Calender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er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036.71476516204" createdVersion="5" refreshedVersion="8" minRefreshableVersion="3" recordCount="0" supportSubquery="1" supportAdvancedDrill="1" xr:uid="{CB1460B8-7752-442C-A60E-0C1A05E3CF8B}">
  <cacheSource type="external" connectionId="3"/>
  <cacheFields count="4">
    <cacheField name="[Calender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1" level="32767"/>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036.714765856479" createdVersion="5" refreshedVersion="8" minRefreshableVersion="3" recordCount="0" supportSubquery="1" supportAdvancedDrill="1" xr:uid="{955013EA-E2E6-4314-8676-6733CD1D4AFE}">
  <cacheSource type="external" connectionId="3"/>
  <cacheFields count="4">
    <cacheField name="[Calender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29" level="32767"/>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036.689851041665" createdVersion="3" refreshedVersion="8" minRefreshableVersion="3" recordCount="0" supportSubquery="1" supportAdvancedDrill="1" xr:uid="{72671F27-3AAE-474E-B478-EBE8750FA372}">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4548477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43AECF-BA28-4D40-ABF4-A3A8552727B9}" name="PivotTable4" cacheId="6" applyNumberFormats="0" applyBorderFormats="0" applyFontFormats="0" applyPatternFormats="0" applyAlignmentFormats="0" applyWidthHeightFormats="1" dataCaption="Values" tag="f18e6848-47a3-4bf4-9cb6-5d15e64d528a" updatedVersion="8" minRefreshableVersion="3" subtotalHiddenItems="1" itemPrintTitles="1" createdVersion="5" indent="0" outline="1" outlineData="1" multipleFieldFilters="0" chartFormat="15">
  <location ref="C4:D35"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30"/>
          </reference>
        </references>
      </pivotArea>
    </chartFormat>
  </chartFormats>
  <pivotHierarchies count="34">
    <pivotHierarchy dragToData="1"/>
    <pivotHierarchy multipleItemSelectionAllowed="1" dragToData="1">
      <members count="1" level="1">
        <member name="[CalenderTable].[Date (Month)].&amp;[Apr]"/>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E2F084-B87D-4FD0-8EE3-88EA00D01707}" name="PivotTable9" cacheId="11" applyNumberFormats="0" applyBorderFormats="0" applyFontFormats="0" applyPatternFormats="0" applyAlignmentFormats="0" applyWidthHeightFormats="1" dataCaption="Values" tag="e877c16f-ab5c-4116-bd0a-70d854f8fad3" updatedVersion="8" minRefreshableVersion="3" subtotalHiddenItems="1" itemPrintTitles="1" createdVersion="5" indent="0" outline="1" outlineData="1" multipleFieldFilters="0" chartFormat="13">
  <location ref="D49:E5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0">
      <pivotArea outline="0" collapsedLevelsAreSubtotals="1" fieldPosition="0"/>
    </format>
  </format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Table].[Date (Month)].&amp;[Apr]"/>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1C1212-0D0D-437D-8686-16EB24AC5B5C}" name="PivotTable1" cacheId="2" applyNumberFormats="0" applyBorderFormats="0" applyFontFormats="0" applyPatternFormats="0" applyAlignmentFormats="0" applyWidthHeightFormats="1" dataCaption="Values" tag="f18e6848-47a3-4bf4-9cb6-5d15e64d528a"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Table].[Date (Month)].&amp;[Apr]"/>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705DBF-26A4-49BE-BFDD-1C937745B40E}" name="PivotTable8" cacheId="10" applyNumberFormats="0" applyBorderFormats="0" applyFontFormats="0" applyPatternFormats="0" applyAlignmentFormats="0" applyWidthHeightFormats="1" dataCaption="Values" tag="e877c16f-ab5c-4116-bd0a-70d854f8fad3" updatedVersion="8" minRefreshableVersion="3" subtotalHiddenItems="1" itemPrintTitles="1" createdVersion="5" indent="0" outline="1" outlineData="1" multipleFieldFilters="0" chartFormat="7">
  <location ref="A49:B5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1">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Table].[Date (Month)].&amp;[Apr]"/>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532CA0-38CD-4642-836C-ACD169A23A5C}" name="PivotTable3" cacheId="5" applyNumberFormats="0" applyBorderFormats="0" applyFontFormats="0" applyPatternFormats="0" applyAlignmentFormats="0" applyWidthHeightFormats="1" dataCaption="Values" tag="e877c16f-ab5c-4116-bd0a-70d854f8fad3"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
      <pivotArea outline="0" collapsedLevelsAreSubtotals="1" fieldPosition="0"/>
    </format>
  </formats>
  <pivotHierarchies count="34">
    <pivotHierarchy dragToData="1"/>
    <pivotHierarchy multipleItemSelectionAllowed="1" dragToData="1">
      <members count="1" level="1">
        <member name="[CalenderTable].[Date (Month)].&amp;[Apr]"/>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EA9A7C-1E80-4A1B-B100-5EC887DBADE1}" name="PivotTable7" cacheId="9" applyNumberFormats="0" applyBorderFormats="0" applyFontFormats="0" applyPatternFormats="0" applyAlignmentFormats="0" applyWidthHeightFormats="1" dataCaption="Values" tag="e877c16f-ab5c-4116-bd0a-70d854f8fad3" updatedVersion="8" minRefreshableVersion="3" subtotalHiddenItems="1" itemPrintTitles="1" createdVersion="5" indent="0" outline="1" outlineData="1" multipleFieldFilters="0" chartFormat="4">
  <location ref="A37:C40"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6">
      <pivotArea outline="0" collapsedLevelsAreSubtotals="1" fieldPosition="0"/>
    </format>
    <format dxfId="5">
      <pivotArea collapsedLevelsAreSubtotals="1" fieldPosition="0">
        <references count="1">
          <reference field="2" count="1">
            <x v="0"/>
          </reference>
        </references>
      </pivotArea>
    </format>
    <format dxfId="4">
      <pivotArea collapsedLevelsAreSubtotals="1" fieldPosition="0">
        <references count="1">
          <reference field="2" count="1">
            <x v="1"/>
          </reference>
        </references>
      </pivotArea>
    </format>
    <format dxfId="3">
      <pivotArea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1"/>
          </reference>
          <reference field="2" count="1" selected="0">
            <x v="1"/>
          </reference>
        </references>
      </pivotArea>
    </chartFormat>
    <chartFormat chart="0" format="5">
      <pivotArea type="data" outline="0" fieldPosition="0">
        <references count="2">
          <reference field="4294967294" count="1" selected="0">
            <x v="1"/>
          </reference>
          <reference field="2" count="1" selected="0">
            <x v="0"/>
          </reference>
        </references>
      </pivotArea>
    </chartFormat>
  </chartFormats>
  <pivotHierarchies count="35">
    <pivotHierarchy dragToData="1"/>
    <pivotHierarchy multipleItemSelectionAllowed="1" dragToData="1">
      <members count="1" level="1">
        <member name="[CalenderTable].[Date (Month)].&amp;[Apr]"/>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813940-B5BB-4508-A538-DA91F8D213D6}" name="PivotTable13" cacheId="1" applyNumberFormats="0" applyBorderFormats="0" applyFontFormats="0" applyPatternFormats="0" applyAlignmentFormats="0" applyWidthHeightFormats="1" dataCaption="Values" tag="e877c16f-ab5c-4116-bd0a-70d854f8fad3" updatedVersion="8" minRefreshableVersion="3" subtotalHiddenItems="1" itemPrintTitles="1" createdVersion="5" indent="0" outline="1" outlineData="1" multipleFieldFilters="0" chartFormat="10">
  <location ref="A74:A76"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7">
      <pivotArea outline="0" collapsedLevelsAreSubtotals="1" fieldPosition="0"/>
    </format>
  </formats>
  <pivotHierarchies count="34">
    <pivotHierarchy dragToData="1"/>
    <pivotHierarchy multipleItemSelectionAllowed="1" dragToData="1">
      <members count="1" level="1">
        <member name="[Calender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D61E30-F0AE-4D7D-B462-B31E142894CA}" name="PivotTable12" cacheId="4" applyNumberFormats="0" applyBorderFormats="0" applyFontFormats="0" applyPatternFormats="0" applyAlignmentFormats="0" applyWidthHeightFormats="1" dataCaption="Values" tag="e877c16f-ab5c-4116-bd0a-70d854f8fad3" updatedVersion="8" minRefreshableVersion="3" subtotalHiddenItems="1" itemPrintTitles="1" createdVersion="5" indent="0" outline="1" outlineData="1" multipleFieldFilters="0" chartFormat="10">
  <location ref="A61:B7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i>
    <i>
      <x v="6"/>
    </i>
    <i>
      <x v="5"/>
    </i>
    <i>
      <x v="2"/>
    </i>
    <i>
      <x v="4"/>
    </i>
    <i t="grand">
      <x/>
    </i>
  </rowItems>
  <colItems count="1">
    <i/>
  </colItems>
  <dataFields count="1">
    <dataField name="Count of Department Referral" fld="2" subtotal="count" baseField="0" baseItem="0"/>
  </dataFields>
  <formats count="1">
    <format dxfId="8">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Table].[Date (Month)].&amp;[Apr]"/>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9CBEE3-29D2-45CD-83D9-3BB1BE30CC1A}" name="PivotTable2" cacheId="0" applyNumberFormats="0" applyBorderFormats="0" applyFontFormats="0" applyPatternFormats="0" applyAlignmentFormats="0" applyWidthHeightFormats="1" dataCaption="Values" tag="d9a83883-e227-4123-86f3-c96e2711e36b" updatedVersion="8" minRefreshableVersion="3" subtotalHiddenItems="1"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
      <pivotArea outline="0" collapsedLevelsAreSubtotals="1" fieldPosition="0"/>
    </format>
  </formats>
  <pivotHierarchies count="34">
    <pivotHierarchy dragToData="1"/>
    <pivotHierarchy multipleItemSelectionAllowed="1" dragToData="1">
      <members count="1" level="1">
        <member name="[Calender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9AF53C-9C0D-48A8-9AE1-B0DD47174E12}" name="PivotTable6" cacheId="8" applyNumberFormats="0" applyBorderFormats="0" applyFontFormats="0" applyPatternFormats="0" applyAlignmentFormats="0" applyWidthHeightFormats="1" dataCaption="Values" tag="f18e6848-47a3-4bf4-9cb6-5d15e64d528a" updatedVersion="8" minRefreshableVersion="3" subtotalHiddenItems="1" itemPrintTitles="1" createdVersion="5" indent="0" outline="1" outlineData="1" multipleFieldFilters="0" chartFormat="28">
  <location ref="I4:J32" firstHeaderRow="1" firstDataRow="1" firstDataCol="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2" subtotal="average" baseField="0" baseItem="0"/>
  </dataFields>
  <formats count="1">
    <format dxfId="10">
      <pivotArea outline="0" collapsedLevelsAreSubtotals="1" fieldPosition="0"/>
    </format>
  </formats>
  <chartFormats count="2">
    <chartFormat chart="23"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Table].[Date (Month)].&amp;[Apr]"/>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E68D7C7-1A6F-4472-BD69-22F036F46888}" name="PivotTable11" cacheId="3" applyNumberFormats="0" applyBorderFormats="0" applyFontFormats="0" applyPatternFormats="0" applyAlignmentFormats="0" applyWidthHeightFormats="1" dataCaption="Values" tag="e877c16f-ab5c-4116-bd0a-70d854f8fad3" updatedVersion="8" minRefreshableVersion="3" subtotalHiddenItems="1" itemPrintTitles="1" createdVersion="5" indent="0" outline="1" outlineData="1" multipleFieldFilters="0" chartFormat="21">
  <location ref="D55:E58"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1">
    <format dxfId="11">
      <pivotArea outline="0" collapsedLevelsAreSubtotals="1" fieldPosition="0"/>
    </format>
  </format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2" count="1" selected="0">
            <x v="0"/>
          </reference>
        </references>
      </pivotArea>
    </chartFormat>
    <chartFormat chart="15"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Table].[Date (Month)].&amp;[Apr]"/>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071316D-0AF3-4E13-812D-E276358DEAEA}" name="PivotTable5" cacheId="7" applyNumberFormats="0" applyBorderFormats="0" applyFontFormats="0" applyPatternFormats="0" applyAlignmentFormats="0" applyWidthHeightFormats="1" dataCaption="Values" tag="f18e6848-47a3-4bf4-9cb6-5d15e64d528a" updatedVersion="8" minRefreshableVersion="3" subtotalHiddenItems="1" itemPrintTitles="1" createdVersion="5" indent="0" outline="1" outlineData="1" multipleFieldFilters="0" chartFormat="22">
  <location ref="F4:G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12">
      <pivotArea outline="0" collapsedLevelsAreSubtotals="1" fieldPosition="0"/>
    </format>
  </formats>
  <chartFormats count="3">
    <chartFormat chart="17"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Table].[Date (Month)].&amp;[Apr]"/>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CA41E040-365C-4E31-895B-A2D67305C4EF}" sourceName="[Calender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1"/>
    <pivotTable tabId="1" name="PivotTable12"/>
    <pivotTable tabId="1" name="PivotTable13"/>
  </pivotTables>
  <data>
    <olap pivotCacheId="454847787">
      <levels count="2">
        <level uniqueName="[CalenderTable].[Date (Month)].[(All)]" sourceCaption="(All)" count="0"/>
        <level uniqueName="[CalenderTable].[Date (Month)].[Date (Month)]" sourceCaption="Date (Month)" count="12">
          <ranges>
            <range startItem="0">
              <i n="[CalenderTable].[Date (Month)].&amp;[Jan]" c="Jan"/>
              <i n="[CalenderTable].[Date (Month)].&amp;[Feb]" c="Feb"/>
              <i n="[CalenderTable].[Date (Month)].&amp;[Mar]" c="Mar"/>
              <i n="[CalenderTable].[Date (Month)].&amp;[Apr]" c="Apr"/>
              <i n="[CalenderTable].[Date (Month)].&amp;[May]" c="May"/>
              <i n="[CalenderTable].[Date (Month)].&amp;[Jun]" c="Jun"/>
              <i n="[CalenderTable].[Date (Month)].&amp;[Jul]" c="Jul"/>
              <i n="[CalenderTable].[Date (Month)].&amp;[Aug]" c="Aug"/>
              <i n="[CalenderTable].[Date (Month)].&amp;[Sep]" c="Sep"/>
              <i n="[CalenderTable].[Date (Month)].&amp;[Oct]" c="Oct"/>
              <i n="[CalenderTable].[Date (Month)].&amp;[Nov]" c="Nov"/>
              <i n="[CalenderTable].[Date (Month)].&amp;[Dec]" c="Dec"/>
            </range>
          </ranges>
        </level>
      </levels>
      <selections count="1">
        <selection n="[Calender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48CA281-268F-4977-A28F-1EDAEE318601}" sourceName="[CalenderTable].[Date (Year)]">
  <pivotTables>
    <pivotTable tabId="1" name="PivotTable13"/>
    <pivotTable tabId="1" name="PivotTable1"/>
    <pivotTable tabId="1" name="PivotTable11"/>
    <pivotTable tabId="1" name="PivotTable12"/>
    <pivotTable tabId="1" name="PivotTable3"/>
    <pivotTable tabId="1" name="PivotTable4"/>
    <pivotTable tabId="1" name="PivotTable5"/>
    <pivotTable tabId="1" name="PivotTable6"/>
    <pivotTable tabId="1" name="PivotTable7"/>
    <pivotTable tabId="1" name="PivotTable8"/>
    <pivotTable tabId="1" name="PivotTable9"/>
  </pivotTables>
  <data>
    <olap pivotCacheId="454847787">
      <levels count="2">
        <level uniqueName="[CalenderTable].[Date (Year)].[(All)]" sourceCaption="(All)" count="0"/>
        <level uniqueName="[CalenderTable].[Date (Year)].[Date (Year)]" sourceCaption="Date (Year)" count="2">
          <ranges>
            <range startItem="0">
              <i n="[CalenderTable].[Date (Year)].&amp;[2023]" c="2023"/>
              <i n="[CalenderTable].[Date (Year)].&amp;[2024]" c="2024"/>
            </range>
          </ranges>
        </level>
      </levels>
      <selections count="1">
        <selection n="[Calender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8B12A09C-CE65-416B-8BEB-14855FBB10A2}"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6F63188F-C5ED-4240-99EE-C23352D50BBC}" cache="Slicer_Date__Month" caption="Date (Month)" showCaption="0" level="1" style="Mystyle" rowHeight="180000"/>
  <slicer name="Date (Year) 1" xr10:uid="{CA93755D-B382-460E-98C5-0F1B0100AF6E}" cache="Slicer_Date__Year" caption="Date (Year)" columnCount="2" showCaption="0" level="1" style="Mystyle"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06C7F-6AAB-4EC1-89F8-3930C3F91717}">
  <dimension ref="A3:J76"/>
  <sheetViews>
    <sheetView topLeftCell="A44" zoomScale="110" zoomScaleNormal="110" workbookViewId="0">
      <selection activeCell="F44" sqref="F44"/>
    </sheetView>
  </sheetViews>
  <sheetFormatPr defaultRowHeight="14.4" x14ac:dyDescent="0.3"/>
  <cols>
    <col min="1" max="1" width="18" customWidth="1"/>
    <col min="2" max="2" width="14.6640625" customWidth="1"/>
    <col min="3" max="3" width="12.109375" customWidth="1"/>
    <col min="4" max="4" width="16.109375" customWidth="1"/>
    <col min="5" max="5" width="27.44140625" bestFit="1" customWidth="1"/>
    <col min="6" max="6" width="13.77734375" bestFit="1" customWidth="1"/>
    <col min="7" max="7" width="24.33203125" bestFit="1" customWidth="1"/>
    <col min="9" max="9" width="25.77734375" bestFit="1" customWidth="1"/>
    <col min="10" max="10" width="32.44140625" bestFit="1" customWidth="1"/>
  </cols>
  <sheetData>
    <row r="3" spans="1:10" x14ac:dyDescent="0.3">
      <c r="A3" t="s">
        <v>1</v>
      </c>
      <c r="C3" t="s">
        <v>38</v>
      </c>
      <c r="F3" t="s">
        <v>39</v>
      </c>
      <c r="I3" t="s">
        <v>41</v>
      </c>
    </row>
    <row r="4" spans="1:10" x14ac:dyDescent="0.3">
      <c r="A4" t="s">
        <v>0</v>
      </c>
      <c r="C4" s="4" t="s">
        <v>4</v>
      </c>
      <c r="D4" t="s">
        <v>0</v>
      </c>
      <c r="F4" s="4" t="s">
        <v>4</v>
      </c>
      <c r="G4" t="s">
        <v>2</v>
      </c>
      <c r="I4" s="4" t="s">
        <v>4</v>
      </c>
      <c r="J4" t="s">
        <v>3</v>
      </c>
    </row>
    <row r="5" spans="1:10" x14ac:dyDescent="0.3">
      <c r="A5">
        <v>469</v>
      </c>
      <c r="C5" s="5" t="s">
        <v>7</v>
      </c>
      <c r="D5">
        <v>12</v>
      </c>
      <c r="F5" s="5" t="s">
        <v>7</v>
      </c>
      <c r="G5" s="1">
        <v>31.833333333333332</v>
      </c>
      <c r="I5" s="5" t="s">
        <v>8</v>
      </c>
      <c r="J5" s="1">
        <v>4.5999999999999996</v>
      </c>
    </row>
    <row r="6" spans="1:10" x14ac:dyDescent="0.3">
      <c r="C6" s="5" t="s">
        <v>8</v>
      </c>
      <c r="D6">
        <v>19</v>
      </c>
      <c r="F6" s="5" t="s">
        <v>8</v>
      </c>
      <c r="G6" s="1">
        <v>39.368421052631582</v>
      </c>
      <c r="I6" s="5" t="s">
        <v>9</v>
      </c>
      <c r="J6" s="1">
        <v>4.5999999999999996</v>
      </c>
    </row>
    <row r="7" spans="1:10" x14ac:dyDescent="0.3">
      <c r="C7" s="5" t="s">
        <v>9</v>
      </c>
      <c r="D7">
        <v>17</v>
      </c>
      <c r="F7" s="5" t="s">
        <v>9</v>
      </c>
      <c r="G7" s="1">
        <v>32.352941176470587</v>
      </c>
      <c r="I7" s="5" t="s">
        <v>10</v>
      </c>
      <c r="J7" s="1">
        <v>5.666666666666667</v>
      </c>
    </row>
    <row r="8" spans="1:10" x14ac:dyDescent="0.3">
      <c r="A8" t="s">
        <v>2</v>
      </c>
      <c r="C8" s="5" t="s">
        <v>10</v>
      </c>
      <c r="D8">
        <v>20</v>
      </c>
      <c r="F8" s="5" t="s">
        <v>10</v>
      </c>
      <c r="G8" s="1">
        <v>34.049999999999997</v>
      </c>
      <c r="I8" s="5" t="s">
        <v>11</v>
      </c>
      <c r="J8" s="1">
        <v>3.4</v>
      </c>
    </row>
    <row r="9" spans="1:10" x14ac:dyDescent="0.3">
      <c r="A9" s="1">
        <v>34.972573839662445</v>
      </c>
      <c r="C9" s="5" t="s">
        <v>11</v>
      </c>
      <c r="D9">
        <v>15</v>
      </c>
      <c r="F9" s="5" t="s">
        <v>11</v>
      </c>
      <c r="G9" s="1">
        <v>31.8</v>
      </c>
      <c r="I9" s="5" t="s">
        <v>12</v>
      </c>
      <c r="J9" s="1">
        <v>4.333333333333333</v>
      </c>
    </row>
    <row r="10" spans="1:10" x14ac:dyDescent="0.3">
      <c r="C10" s="5" t="s">
        <v>12</v>
      </c>
      <c r="D10">
        <v>17</v>
      </c>
      <c r="F10" s="5" t="s">
        <v>12</v>
      </c>
      <c r="G10" s="1">
        <v>37.823529411764703</v>
      </c>
      <c r="I10" s="5" t="s">
        <v>13</v>
      </c>
      <c r="J10" s="1">
        <v>4.4000000000000004</v>
      </c>
    </row>
    <row r="11" spans="1:10" x14ac:dyDescent="0.3">
      <c r="A11" t="s">
        <v>3</v>
      </c>
      <c r="C11" s="5" t="s">
        <v>13</v>
      </c>
      <c r="D11">
        <v>16</v>
      </c>
      <c r="F11" s="5" t="s">
        <v>13</v>
      </c>
      <c r="G11" s="1">
        <v>31.875</v>
      </c>
      <c r="I11" s="5" t="s">
        <v>14</v>
      </c>
      <c r="J11" s="1">
        <v>4.25</v>
      </c>
    </row>
    <row r="12" spans="1:10" x14ac:dyDescent="0.3">
      <c r="A12" s="1">
        <v>4.6269841269841274</v>
      </c>
      <c r="C12" s="5" t="s">
        <v>14</v>
      </c>
      <c r="D12">
        <v>10</v>
      </c>
      <c r="F12" s="5" t="s">
        <v>14</v>
      </c>
      <c r="G12" s="1">
        <v>27.3</v>
      </c>
      <c r="I12" s="5" t="s">
        <v>15</v>
      </c>
      <c r="J12" s="1">
        <v>4.5999999999999996</v>
      </c>
    </row>
    <row r="13" spans="1:10" x14ac:dyDescent="0.3">
      <c r="C13" s="5" t="s">
        <v>15</v>
      </c>
      <c r="D13">
        <v>15</v>
      </c>
      <c r="F13" s="5" t="s">
        <v>15</v>
      </c>
      <c r="G13" s="1">
        <v>31.933333333333334</v>
      </c>
      <c r="I13" s="5" t="s">
        <v>17</v>
      </c>
      <c r="J13" s="1">
        <v>2.3333333333333335</v>
      </c>
    </row>
    <row r="14" spans="1:10" x14ac:dyDescent="0.3">
      <c r="C14" s="5" t="s">
        <v>16</v>
      </c>
      <c r="D14">
        <v>14</v>
      </c>
      <c r="F14" s="5" t="s">
        <v>16</v>
      </c>
      <c r="G14" s="1">
        <v>30.5</v>
      </c>
      <c r="I14" s="5" t="s">
        <v>18</v>
      </c>
      <c r="J14" s="1">
        <v>9</v>
      </c>
    </row>
    <row r="15" spans="1:10" x14ac:dyDescent="0.3">
      <c r="C15" s="5" t="s">
        <v>17</v>
      </c>
      <c r="D15">
        <v>16</v>
      </c>
      <c r="F15" s="5" t="s">
        <v>17</v>
      </c>
      <c r="G15" s="1">
        <v>38.0625</v>
      </c>
      <c r="I15" s="5" t="s">
        <v>19</v>
      </c>
      <c r="J15" s="1">
        <v>2.75</v>
      </c>
    </row>
    <row r="16" spans="1:10" x14ac:dyDescent="0.3">
      <c r="C16" s="5" t="s">
        <v>18</v>
      </c>
      <c r="D16">
        <v>12</v>
      </c>
      <c r="F16" s="5" t="s">
        <v>18</v>
      </c>
      <c r="G16" s="1">
        <v>36.333333333333336</v>
      </c>
      <c r="I16" s="5" t="s">
        <v>20</v>
      </c>
      <c r="J16" s="1">
        <v>6.8888888888888893</v>
      </c>
    </row>
    <row r="17" spans="3:10" x14ac:dyDescent="0.3">
      <c r="C17" s="5" t="s">
        <v>19</v>
      </c>
      <c r="D17">
        <v>12</v>
      </c>
      <c r="F17" s="5" t="s">
        <v>19</v>
      </c>
      <c r="G17" s="1">
        <v>27</v>
      </c>
      <c r="I17" s="5" t="s">
        <v>21</v>
      </c>
      <c r="J17" s="1">
        <v>5</v>
      </c>
    </row>
    <row r="18" spans="3:10" x14ac:dyDescent="0.3">
      <c r="C18" s="5" t="s">
        <v>20</v>
      </c>
      <c r="D18">
        <v>13</v>
      </c>
      <c r="F18" s="5" t="s">
        <v>20</v>
      </c>
      <c r="G18" s="1">
        <v>37.46153846153846</v>
      </c>
      <c r="I18" s="5" t="s">
        <v>22</v>
      </c>
      <c r="J18" s="1">
        <v>4.166666666666667</v>
      </c>
    </row>
    <row r="19" spans="3:10" x14ac:dyDescent="0.3">
      <c r="C19" s="5" t="s">
        <v>21</v>
      </c>
      <c r="D19">
        <v>20</v>
      </c>
      <c r="F19" s="5" t="s">
        <v>21</v>
      </c>
      <c r="G19" s="1">
        <v>39.25</v>
      </c>
      <c r="I19" s="5" t="s">
        <v>23</v>
      </c>
      <c r="J19" s="1">
        <v>2.5</v>
      </c>
    </row>
    <row r="20" spans="3:10" x14ac:dyDescent="0.3">
      <c r="C20" s="5" t="s">
        <v>22</v>
      </c>
      <c r="D20">
        <v>17</v>
      </c>
      <c r="F20" s="5" t="s">
        <v>22</v>
      </c>
      <c r="G20" s="1">
        <v>33.647058823529413</v>
      </c>
      <c r="I20" s="5" t="s">
        <v>24</v>
      </c>
      <c r="J20" s="1">
        <v>6</v>
      </c>
    </row>
    <row r="21" spans="3:10" x14ac:dyDescent="0.3">
      <c r="C21" s="5" t="s">
        <v>23</v>
      </c>
      <c r="D21">
        <v>10</v>
      </c>
      <c r="F21" s="5" t="s">
        <v>23</v>
      </c>
      <c r="G21" s="1">
        <v>42.2</v>
      </c>
      <c r="I21" s="5" t="s">
        <v>25</v>
      </c>
      <c r="J21" s="1">
        <v>3.8</v>
      </c>
    </row>
    <row r="22" spans="3:10" x14ac:dyDescent="0.3">
      <c r="C22" s="5" t="s">
        <v>24</v>
      </c>
      <c r="D22">
        <v>16</v>
      </c>
      <c r="F22" s="5" t="s">
        <v>24</v>
      </c>
      <c r="G22" s="1">
        <v>33.3125</v>
      </c>
      <c r="I22" s="5" t="s">
        <v>26</v>
      </c>
      <c r="J22" s="1">
        <v>3.6</v>
      </c>
    </row>
    <row r="23" spans="3:10" x14ac:dyDescent="0.3">
      <c r="C23" s="5" t="s">
        <v>25</v>
      </c>
      <c r="D23">
        <v>13</v>
      </c>
      <c r="F23" s="5" t="s">
        <v>25</v>
      </c>
      <c r="G23" s="1">
        <v>25.76923076923077</v>
      </c>
      <c r="I23" s="5" t="s">
        <v>28</v>
      </c>
      <c r="J23" s="1">
        <v>5.8571428571428568</v>
      </c>
    </row>
    <row r="24" spans="3:10" x14ac:dyDescent="0.3">
      <c r="C24" s="5" t="s">
        <v>26</v>
      </c>
      <c r="D24">
        <v>16</v>
      </c>
      <c r="F24" s="5" t="s">
        <v>26</v>
      </c>
      <c r="G24" s="1">
        <v>37.125</v>
      </c>
      <c r="I24" s="5" t="s">
        <v>29</v>
      </c>
      <c r="J24" s="1">
        <v>6.25</v>
      </c>
    </row>
    <row r="25" spans="3:10" x14ac:dyDescent="0.3">
      <c r="C25" s="5" t="s">
        <v>27</v>
      </c>
      <c r="D25">
        <v>18</v>
      </c>
      <c r="F25" s="5" t="s">
        <v>27</v>
      </c>
      <c r="G25" s="1">
        <v>37</v>
      </c>
      <c r="I25" s="5" t="s">
        <v>30</v>
      </c>
      <c r="J25" s="1">
        <v>4.666666666666667</v>
      </c>
    </row>
    <row r="26" spans="3:10" x14ac:dyDescent="0.3">
      <c r="C26" s="5" t="s">
        <v>28</v>
      </c>
      <c r="D26">
        <v>21</v>
      </c>
      <c r="F26" s="5" t="s">
        <v>28</v>
      </c>
      <c r="G26" s="1">
        <v>36.80952380952381</v>
      </c>
      <c r="I26" s="5" t="s">
        <v>31</v>
      </c>
      <c r="J26" s="1">
        <v>0</v>
      </c>
    </row>
    <row r="27" spans="3:10" x14ac:dyDescent="0.3">
      <c r="C27" s="5" t="s">
        <v>29</v>
      </c>
      <c r="D27">
        <v>15</v>
      </c>
      <c r="F27" s="5" t="s">
        <v>29</v>
      </c>
      <c r="G27" s="1">
        <v>39.799999999999997</v>
      </c>
      <c r="I27" s="5" t="s">
        <v>32</v>
      </c>
      <c r="J27" s="1">
        <v>4.666666666666667</v>
      </c>
    </row>
    <row r="28" spans="3:10" x14ac:dyDescent="0.3">
      <c r="C28" s="5" t="s">
        <v>30</v>
      </c>
      <c r="D28">
        <v>18</v>
      </c>
      <c r="F28" s="5" t="s">
        <v>30</v>
      </c>
      <c r="G28" s="1">
        <v>38</v>
      </c>
      <c r="I28" s="5" t="s">
        <v>33</v>
      </c>
      <c r="J28" s="1">
        <v>2.8</v>
      </c>
    </row>
    <row r="29" spans="3:10" x14ac:dyDescent="0.3">
      <c r="C29" s="5" t="s">
        <v>31</v>
      </c>
      <c r="D29">
        <v>15</v>
      </c>
      <c r="F29" s="5" t="s">
        <v>31</v>
      </c>
      <c r="G29" s="1">
        <v>36.133333333333333</v>
      </c>
      <c r="I29" s="5" t="s">
        <v>34</v>
      </c>
      <c r="J29" s="1">
        <v>4.2</v>
      </c>
    </row>
    <row r="30" spans="3:10" x14ac:dyDescent="0.3">
      <c r="C30" s="5" t="s">
        <v>32</v>
      </c>
      <c r="D30">
        <v>18</v>
      </c>
      <c r="F30" s="5" t="s">
        <v>32</v>
      </c>
      <c r="G30" s="1">
        <v>36.555555555555557</v>
      </c>
      <c r="I30" s="5" t="s">
        <v>35</v>
      </c>
      <c r="J30" s="1">
        <v>2.5</v>
      </c>
    </row>
    <row r="31" spans="3:10" x14ac:dyDescent="0.3">
      <c r="C31" s="5" t="s">
        <v>33</v>
      </c>
      <c r="D31">
        <v>19</v>
      </c>
      <c r="F31" s="5" t="s">
        <v>33</v>
      </c>
      <c r="G31" s="1">
        <v>39.210526315789473</v>
      </c>
      <c r="I31" s="5" t="s">
        <v>36</v>
      </c>
      <c r="J31" s="1">
        <v>5</v>
      </c>
    </row>
    <row r="32" spans="3:10" x14ac:dyDescent="0.3">
      <c r="C32" s="5" t="s">
        <v>34</v>
      </c>
      <c r="D32">
        <v>16</v>
      </c>
      <c r="F32" s="5" t="s">
        <v>34</v>
      </c>
      <c r="G32" s="1">
        <v>31.1875</v>
      </c>
      <c r="I32" s="5" t="s">
        <v>5</v>
      </c>
      <c r="J32" s="1">
        <v>4.6269841269841274</v>
      </c>
    </row>
    <row r="33" spans="1:7" x14ac:dyDescent="0.3">
      <c r="C33" s="5" t="s">
        <v>35</v>
      </c>
      <c r="D33">
        <v>13</v>
      </c>
      <c r="F33" s="5" t="s">
        <v>35</v>
      </c>
      <c r="G33" s="1">
        <v>35.153846153846153</v>
      </c>
    </row>
    <row r="34" spans="1:7" x14ac:dyDescent="0.3">
      <c r="C34" s="5" t="s">
        <v>36</v>
      </c>
      <c r="D34">
        <v>16</v>
      </c>
      <c r="F34" s="5" t="s">
        <v>36</v>
      </c>
      <c r="G34" s="1">
        <v>34.25</v>
      </c>
    </row>
    <row r="35" spans="1:7" x14ac:dyDescent="0.3">
      <c r="C35" s="5" t="s">
        <v>5</v>
      </c>
      <c r="D35">
        <v>469</v>
      </c>
      <c r="F35" s="5" t="s">
        <v>5</v>
      </c>
      <c r="G35" s="1">
        <v>35.044776119402982</v>
      </c>
    </row>
    <row r="36" spans="1:7" ht="15" customHeight="1" x14ac:dyDescent="0.3"/>
    <row r="37" spans="1:7" x14ac:dyDescent="0.3">
      <c r="A37" s="4" t="s">
        <v>4</v>
      </c>
      <c r="B37" t="s">
        <v>44</v>
      </c>
      <c r="C37" t="s">
        <v>47</v>
      </c>
    </row>
    <row r="38" spans="1:7" x14ac:dyDescent="0.3">
      <c r="A38" s="5" t="s">
        <v>45</v>
      </c>
      <c r="B38" s="8">
        <v>217</v>
      </c>
      <c r="C38" s="9">
        <v>0.46268656716417911</v>
      </c>
    </row>
    <row r="39" spans="1:7" x14ac:dyDescent="0.3">
      <c r="A39" s="5" t="s">
        <v>46</v>
      </c>
      <c r="B39" s="8">
        <v>252</v>
      </c>
      <c r="C39" s="9">
        <v>0.53731343283582089</v>
      </c>
    </row>
    <row r="40" spans="1:7" x14ac:dyDescent="0.3">
      <c r="A40" s="5" t="s">
        <v>5</v>
      </c>
      <c r="B40" s="1">
        <v>469</v>
      </c>
      <c r="C40" s="9">
        <v>1</v>
      </c>
    </row>
    <row r="44" spans="1:7" x14ac:dyDescent="0.3">
      <c r="A44" s="12" t="s">
        <v>48</v>
      </c>
      <c r="B44" s="12" t="s">
        <v>1</v>
      </c>
      <c r="C44" s="12" t="s">
        <v>49</v>
      </c>
      <c r="D44" s="10"/>
    </row>
    <row r="45" spans="1:7" x14ac:dyDescent="0.3">
      <c r="A45" s="13" t="str">
        <f>A39</f>
        <v>Not Admitted</v>
      </c>
      <c r="B45" s="14">
        <f>B39</f>
        <v>252</v>
      </c>
      <c r="C45" s="15">
        <f>C39</f>
        <v>0.53731343283582089</v>
      </c>
      <c r="D45" s="11"/>
    </row>
    <row r="46" spans="1:7" x14ac:dyDescent="0.3">
      <c r="A46" s="13" t="str">
        <f>A38</f>
        <v>Admitted</v>
      </c>
      <c r="B46" s="14">
        <f>B38</f>
        <v>217</v>
      </c>
      <c r="C46" s="15">
        <f>C38</f>
        <v>0.46268656716417911</v>
      </c>
      <c r="D46" s="11"/>
      <c r="E46" s="11"/>
    </row>
    <row r="48" spans="1:7" x14ac:dyDescent="0.3">
      <c r="A48" t="s">
        <v>59</v>
      </c>
      <c r="D48" t="s">
        <v>62</v>
      </c>
    </row>
    <row r="49" spans="1:5" x14ac:dyDescent="0.3">
      <c r="A49" s="4" t="s">
        <v>4</v>
      </c>
      <c r="B49" t="s">
        <v>58</v>
      </c>
      <c r="D49" s="4" t="s">
        <v>4</v>
      </c>
      <c r="E49" t="s">
        <v>43</v>
      </c>
    </row>
    <row r="50" spans="1:5" x14ac:dyDescent="0.3">
      <c r="A50" s="5" t="s">
        <v>50</v>
      </c>
      <c r="B50" s="8">
        <v>59</v>
      </c>
      <c r="D50" s="5" t="s">
        <v>61</v>
      </c>
      <c r="E50" s="8">
        <v>268</v>
      </c>
    </row>
    <row r="51" spans="1:5" x14ac:dyDescent="0.3">
      <c r="A51" s="5" t="s">
        <v>51</v>
      </c>
      <c r="B51" s="8">
        <v>57</v>
      </c>
      <c r="D51" s="5" t="s">
        <v>60</v>
      </c>
      <c r="E51" s="8">
        <v>201</v>
      </c>
    </row>
    <row r="52" spans="1:5" x14ac:dyDescent="0.3">
      <c r="A52" s="5" t="s">
        <v>52</v>
      </c>
      <c r="B52" s="8">
        <v>69</v>
      </c>
      <c r="D52" s="5" t="s">
        <v>5</v>
      </c>
      <c r="E52" s="8">
        <v>469</v>
      </c>
    </row>
    <row r="53" spans="1:5" x14ac:dyDescent="0.3">
      <c r="A53" s="5" t="s">
        <v>53</v>
      </c>
      <c r="B53" s="8">
        <v>62</v>
      </c>
    </row>
    <row r="54" spans="1:5" x14ac:dyDescent="0.3">
      <c r="A54" s="5" t="s">
        <v>54</v>
      </c>
      <c r="B54" s="8">
        <v>54</v>
      </c>
      <c r="D54" s="5" t="s">
        <v>66</v>
      </c>
    </row>
    <row r="55" spans="1:5" x14ac:dyDescent="0.3">
      <c r="A55" s="5" t="s">
        <v>55</v>
      </c>
      <c r="B55" s="8">
        <v>57</v>
      </c>
      <c r="D55" s="4" t="s">
        <v>4</v>
      </c>
      <c r="E55" t="s">
        <v>63</v>
      </c>
    </row>
    <row r="56" spans="1:5" x14ac:dyDescent="0.3">
      <c r="A56" s="5" t="s">
        <v>56</v>
      </c>
      <c r="B56" s="8">
        <v>54</v>
      </c>
      <c r="D56" s="5" t="s">
        <v>64</v>
      </c>
      <c r="E56" s="8">
        <v>241</v>
      </c>
    </row>
    <row r="57" spans="1:5" x14ac:dyDescent="0.3">
      <c r="A57" s="5" t="s">
        <v>57</v>
      </c>
      <c r="B57" s="8">
        <v>57</v>
      </c>
      <c r="D57" s="5" t="s">
        <v>65</v>
      </c>
      <c r="E57" s="8">
        <v>228</v>
      </c>
    </row>
    <row r="58" spans="1:5" x14ac:dyDescent="0.3">
      <c r="A58" s="5" t="s">
        <v>5</v>
      </c>
      <c r="B58" s="8">
        <v>469</v>
      </c>
      <c r="D58" s="5" t="s">
        <v>5</v>
      </c>
      <c r="E58" s="8">
        <v>469</v>
      </c>
    </row>
    <row r="61" spans="1:5" x14ac:dyDescent="0.3">
      <c r="A61" s="4" t="s">
        <v>4</v>
      </c>
      <c r="B61" t="s">
        <v>75</v>
      </c>
    </row>
    <row r="62" spans="1:5" x14ac:dyDescent="0.3">
      <c r="A62" s="5" t="s">
        <v>73</v>
      </c>
      <c r="B62" s="8">
        <v>3</v>
      </c>
    </row>
    <row r="63" spans="1:5" x14ac:dyDescent="0.3">
      <c r="A63" s="5" t="s">
        <v>68</v>
      </c>
      <c r="B63" s="8">
        <v>8</v>
      </c>
    </row>
    <row r="64" spans="1:5" x14ac:dyDescent="0.3">
      <c r="A64" s="5" t="s">
        <v>74</v>
      </c>
      <c r="B64" s="8">
        <v>10</v>
      </c>
    </row>
    <row r="65" spans="1:2" x14ac:dyDescent="0.3">
      <c r="A65" s="5" t="s">
        <v>67</v>
      </c>
      <c r="B65" s="8">
        <v>13</v>
      </c>
    </row>
    <row r="66" spans="1:2" x14ac:dyDescent="0.3">
      <c r="A66" s="5" t="s">
        <v>72</v>
      </c>
      <c r="B66" s="8">
        <v>15</v>
      </c>
    </row>
    <row r="67" spans="1:2" x14ac:dyDescent="0.3">
      <c r="A67" s="5" t="s">
        <v>71</v>
      </c>
      <c r="B67" s="8">
        <v>44</v>
      </c>
    </row>
    <row r="68" spans="1:2" x14ac:dyDescent="0.3">
      <c r="A68" s="5" t="s">
        <v>69</v>
      </c>
      <c r="B68" s="8">
        <v>92</v>
      </c>
    </row>
    <row r="69" spans="1:2" x14ac:dyDescent="0.3">
      <c r="A69" s="5" t="s">
        <v>70</v>
      </c>
      <c r="B69" s="8">
        <v>284</v>
      </c>
    </row>
    <row r="70" spans="1:2" x14ac:dyDescent="0.3">
      <c r="A70" s="5" t="s">
        <v>5</v>
      </c>
      <c r="B70" s="8">
        <v>469</v>
      </c>
    </row>
    <row r="74" spans="1:2" x14ac:dyDescent="0.3">
      <c r="A74" s="4" t="s">
        <v>4</v>
      </c>
    </row>
    <row r="75" spans="1:2" x14ac:dyDescent="0.3">
      <c r="A75" s="5" t="s">
        <v>6</v>
      </c>
    </row>
    <row r="76" spans="1:2" x14ac:dyDescent="0.3">
      <c r="A76" s="5" t="s">
        <v>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B70E5-FB6C-438D-B400-9A47A0B3C805}">
  <dimension ref="A1:W140"/>
  <sheetViews>
    <sheetView tabSelected="1" zoomScale="110" zoomScaleNormal="110" workbookViewId="0">
      <selection activeCell="F24" sqref="F24"/>
    </sheetView>
  </sheetViews>
  <sheetFormatPr defaultRowHeight="14.4" x14ac:dyDescent="0.3"/>
  <cols>
    <col min="1" max="16384" width="8.88671875" style="3"/>
  </cols>
  <sheetData>
    <row r="1" spans="1:23" x14ac:dyDescent="0.3">
      <c r="A1" s="2"/>
      <c r="B1" s="2"/>
      <c r="C1" s="2"/>
      <c r="D1" s="2"/>
      <c r="E1" s="2"/>
      <c r="F1" s="2"/>
      <c r="G1" s="2"/>
      <c r="H1" s="2"/>
      <c r="I1" s="2"/>
      <c r="J1" s="2"/>
      <c r="K1" s="2"/>
      <c r="L1" s="2"/>
      <c r="M1" s="2"/>
      <c r="N1" s="2"/>
      <c r="O1" s="2"/>
      <c r="P1" s="2"/>
      <c r="Q1" s="2"/>
      <c r="R1" s="2"/>
      <c r="S1" s="2"/>
      <c r="T1" s="2"/>
      <c r="U1" s="2"/>
      <c r="V1" s="2"/>
      <c r="W1" s="2"/>
    </row>
    <row r="2" spans="1:23" x14ac:dyDescent="0.3">
      <c r="A2" s="2"/>
      <c r="B2" s="2"/>
      <c r="C2" s="2"/>
      <c r="D2" s="2"/>
      <c r="E2" s="2"/>
      <c r="F2" s="2"/>
      <c r="G2" s="2"/>
      <c r="H2" s="2"/>
      <c r="I2" s="2"/>
      <c r="J2" s="2"/>
      <c r="K2" s="2"/>
      <c r="L2" s="2"/>
      <c r="M2" s="2"/>
      <c r="N2" s="2"/>
      <c r="O2" s="2"/>
      <c r="P2" s="2"/>
      <c r="Q2" s="2"/>
      <c r="R2" s="2"/>
      <c r="S2" s="2"/>
      <c r="T2" s="2"/>
      <c r="U2" s="2"/>
      <c r="V2" s="2"/>
      <c r="W2" s="2"/>
    </row>
    <row r="3" spans="1:23" x14ac:dyDescent="0.3">
      <c r="A3" s="2"/>
      <c r="B3" s="2"/>
      <c r="C3" s="2"/>
      <c r="D3" s="2"/>
      <c r="E3" s="2"/>
      <c r="F3" s="2"/>
      <c r="G3" s="2"/>
      <c r="H3" s="2"/>
      <c r="I3" s="2"/>
      <c r="J3" s="2"/>
      <c r="K3" s="2"/>
      <c r="L3" s="2"/>
      <c r="M3" s="2"/>
      <c r="N3" s="2"/>
      <c r="O3" s="2"/>
      <c r="P3" s="2"/>
      <c r="Q3" s="2"/>
      <c r="R3" s="2"/>
      <c r="S3" s="2"/>
      <c r="T3" s="2"/>
      <c r="U3" s="2"/>
      <c r="V3" s="2"/>
      <c r="W3" s="2"/>
    </row>
    <row r="4" spans="1:23" x14ac:dyDescent="0.3">
      <c r="A4" s="2"/>
      <c r="B4" s="2"/>
      <c r="C4" s="2"/>
      <c r="D4" s="2"/>
      <c r="E4" s="2"/>
      <c r="F4" s="2"/>
      <c r="G4" s="2"/>
      <c r="H4" s="2"/>
      <c r="I4" s="2"/>
      <c r="J4" s="2"/>
      <c r="K4" s="2"/>
      <c r="L4" s="2"/>
      <c r="M4" s="2"/>
      <c r="N4" s="2"/>
      <c r="O4" s="2"/>
      <c r="P4" s="2"/>
      <c r="Q4" s="2"/>
      <c r="R4" s="2"/>
      <c r="S4" s="2"/>
      <c r="T4" s="2"/>
      <c r="U4" s="2"/>
      <c r="V4" s="2"/>
      <c r="W4" s="2"/>
    </row>
    <row r="5" spans="1:23" x14ac:dyDescent="0.3">
      <c r="A5" s="2">
        <f>PivotReport!A5</f>
        <v>469</v>
      </c>
      <c r="B5" s="2"/>
      <c r="C5" s="2"/>
      <c r="D5" s="2"/>
      <c r="E5" s="2"/>
      <c r="F5" s="2"/>
      <c r="G5" s="2"/>
      <c r="H5" s="2"/>
      <c r="I5" s="2"/>
      <c r="J5" s="2"/>
      <c r="K5" s="2"/>
      <c r="L5" s="2"/>
      <c r="M5" s="2"/>
      <c r="N5" s="2"/>
      <c r="O5" s="2"/>
      <c r="P5" s="2"/>
      <c r="Q5" s="2"/>
      <c r="R5" s="2"/>
      <c r="S5" s="2"/>
      <c r="T5" s="2"/>
      <c r="U5" s="2"/>
      <c r="V5" s="2"/>
      <c r="W5" s="2"/>
    </row>
    <row r="6" spans="1:23" x14ac:dyDescent="0.3">
      <c r="A6" s="2"/>
      <c r="B6" s="2"/>
      <c r="C6" s="2"/>
      <c r="D6" s="2"/>
      <c r="E6" s="2"/>
      <c r="F6" s="2"/>
      <c r="G6" s="2"/>
      <c r="H6" s="2"/>
      <c r="I6" s="2"/>
      <c r="J6" s="2"/>
      <c r="K6" s="2"/>
      <c r="L6" s="2"/>
      <c r="M6" s="2"/>
      <c r="N6" s="2"/>
      <c r="O6" s="2"/>
      <c r="P6" s="2"/>
      <c r="Q6" s="2"/>
      <c r="R6" s="2"/>
      <c r="S6" s="2"/>
      <c r="T6" s="2"/>
      <c r="U6" s="2"/>
      <c r="V6" s="2"/>
      <c r="W6" s="2"/>
    </row>
    <row r="7" spans="1:23" x14ac:dyDescent="0.3">
      <c r="A7" s="2"/>
      <c r="B7" s="2"/>
      <c r="C7" s="2"/>
      <c r="D7" s="2"/>
      <c r="E7" s="2"/>
      <c r="F7" s="2"/>
      <c r="G7" s="2"/>
      <c r="H7" s="2"/>
      <c r="I7" s="2"/>
      <c r="J7" s="2"/>
      <c r="K7" s="2"/>
      <c r="L7" s="2"/>
      <c r="M7" s="2"/>
      <c r="N7" s="2"/>
      <c r="O7" s="2"/>
      <c r="P7" s="2"/>
      <c r="Q7" s="2"/>
      <c r="R7" s="2"/>
      <c r="S7" s="2"/>
      <c r="T7" s="2"/>
      <c r="U7" s="2"/>
      <c r="V7" s="2"/>
      <c r="W7" s="2"/>
    </row>
    <row r="8" spans="1:23" x14ac:dyDescent="0.3">
      <c r="A8" s="2"/>
      <c r="B8" s="2"/>
      <c r="C8" s="2"/>
      <c r="D8" s="2"/>
      <c r="E8" s="2"/>
      <c r="F8" s="2"/>
      <c r="G8" s="2"/>
      <c r="H8" s="2"/>
      <c r="I8" s="2"/>
      <c r="J8" s="2"/>
      <c r="K8" s="2"/>
      <c r="L8" s="2"/>
      <c r="M8" s="2"/>
      <c r="N8" s="2"/>
      <c r="O8" s="2"/>
      <c r="P8" s="2"/>
      <c r="Q8" s="2"/>
      <c r="R8" s="2"/>
      <c r="S8" s="2"/>
      <c r="T8" s="2"/>
      <c r="U8" s="2"/>
      <c r="V8" s="2"/>
      <c r="W8" s="2"/>
    </row>
    <row r="9" spans="1:23" x14ac:dyDescent="0.3">
      <c r="A9" s="2"/>
      <c r="B9" s="2"/>
      <c r="C9" s="2"/>
      <c r="D9" s="2"/>
      <c r="E9" s="2"/>
      <c r="F9" s="2"/>
      <c r="G9" s="2"/>
      <c r="H9" s="2"/>
      <c r="I9" s="2"/>
      <c r="J9" s="2"/>
      <c r="K9" s="2"/>
      <c r="L9" s="2"/>
      <c r="M9" s="2"/>
      <c r="N9" s="2"/>
      <c r="O9" s="2"/>
      <c r="P9" s="2"/>
      <c r="Q9" s="2"/>
      <c r="R9" s="2"/>
      <c r="S9" s="2"/>
      <c r="T9" s="2"/>
      <c r="U9" s="2"/>
      <c r="V9" s="2"/>
      <c r="W9" s="2"/>
    </row>
    <row r="10" spans="1:23" x14ac:dyDescent="0.3">
      <c r="A10" s="2"/>
      <c r="B10" s="2"/>
      <c r="C10" s="2"/>
      <c r="D10" s="2"/>
      <c r="E10" s="2"/>
      <c r="F10" s="2"/>
      <c r="G10" s="2"/>
      <c r="H10" s="2"/>
      <c r="I10" s="2"/>
      <c r="J10" s="2"/>
      <c r="K10" s="2"/>
      <c r="L10" s="2"/>
      <c r="M10" s="2"/>
      <c r="N10" s="2"/>
      <c r="O10" s="2"/>
      <c r="P10" s="2"/>
      <c r="Q10" s="2"/>
      <c r="R10" s="2"/>
      <c r="S10" s="2"/>
      <c r="T10" s="2"/>
      <c r="U10" s="2"/>
      <c r="V10" s="2"/>
      <c r="W10" s="2"/>
    </row>
    <row r="11" spans="1:23" x14ac:dyDescent="0.3">
      <c r="A11" s="2"/>
      <c r="B11" s="2"/>
      <c r="C11" s="2"/>
      <c r="D11" s="2"/>
      <c r="E11" s="2"/>
      <c r="F11" s="2"/>
      <c r="G11" s="2"/>
      <c r="H11" s="2"/>
      <c r="I11" s="2"/>
      <c r="J11" s="2"/>
      <c r="K11" s="2"/>
      <c r="L11" s="2"/>
      <c r="M11" s="2"/>
      <c r="N11" s="2"/>
      <c r="O11" s="2"/>
      <c r="P11" s="2"/>
      <c r="Q11" s="2"/>
      <c r="R11" s="2"/>
      <c r="S11" s="2"/>
      <c r="T11" s="2"/>
      <c r="U11" s="2"/>
      <c r="V11" s="2"/>
      <c r="W11" s="2"/>
    </row>
    <row r="12" spans="1:23" x14ac:dyDescent="0.3">
      <c r="A12" s="2"/>
      <c r="B12" s="2"/>
      <c r="C12" s="2"/>
      <c r="D12" s="2"/>
      <c r="E12" s="2"/>
      <c r="F12" s="2"/>
      <c r="G12" s="2"/>
      <c r="H12" s="2"/>
      <c r="I12" s="2"/>
      <c r="J12" s="2"/>
      <c r="K12" s="2"/>
      <c r="L12" s="2"/>
      <c r="M12" s="2"/>
      <c r="N12" s="2"/>
      <c r="O12" s="2"/>
      <c r="P12" s="2"/>
      <c r="Q12" s="2"/>
      <c r="R12" s="2"/>
      <c r="S12" s="2"/>
      <c r="T12" s="2"/>
      <c r="U12" s="2"/>
      <c r="V12" s="2"/>
      <c r="W12" s="2"/>
    </row>
    <row r="13" spans="1:23" x14ac:dyDescent="0.3">
      <c r="A13" s="2"/>
      <c r="B13" s="2"/>
      <c r="C13" s="2"/>
      <c r="D13" s="2"/>
      <c r="E13" s="2"/>
      <c r="F13" s="2"/>
      <c r="G13" s="2"/>
      <c r="H13" s="2"/>
      <c r="I13" s="2"/>
      <c r="J13" s="2"/>
      <c r="K13" s="2"/>
      <c r="L13" s="2"/>
      <c r="M13" s="2"/>
      <c r="N13" s="2"/>
      <c r="O13" s="2"/>
      <c r="P13" s="2"/>
      <c r="Q13" s="2"/>
      <c r="R13" s="2"/>
      <c r="S13" s="2"/>
      <c r="T13" s="2"/>
      <c r="U13" s="2"/>
      <c r="V13" s="2"/>
      <c r="W13" s="2"/>
    </row>
    <row r="14" spans="1:23" x14ac:dyDescent="0.3">
      <c r="A14" s="2"/>
      <c r="B14" s="2"/>
      <c r="C14" s="2"/>
      <c r="D14" s="2"/>
      <c r="E14" s="2"/>
      <c r="F14" s="2"/>
      <c r="G14" s="2"/>
      <c r="H14" s="2"/>
      <c r="I14" s="2"/>
      <c r="J14" s="2"/>
      <c r="K14" s="2"/>
      <c r="L14" s="2"/>
      <c r="M14" s="2"/>
      <c r="N14" s="2"/>
      <c r="O14" s="2"/>
      <c r="P14" s="2"/>
      <c r="Q14" s="2"/>
      <c r="R14" s="2"/>
      <c r="S14" s="2"/>
      <c r="T14" s="2"/>
      <c r="U14" s="2"/>
      <c r="V14" s="2"/>
      <c r="W14" s="2"/>
    </row>
    <row r="15" spans="1:23" x14ac:dyDescent="0.3">
      <c r="A15" s="2"/>
      <c r="B15" s="2"/>
      <c r="C15" s="2"/>
      <c r="D15" s="2"/>
      <c r="E15" s="2"/>
      <c r="F15" s="2"/>
      <c r="G15" s="2"/>
      <c r="H15" s="2"/>
      <c r="I15" s="2"/>
      <c r="J15" s="2"/>
      <c r="K15" s="2"/>
      <c r="L15" s="2"/>
      <c r="M15" s="2"/>
      <c r="N15" s="2"/>
      <c r="O15" s="2"/>
      <c r="P15" s="2"/>
      <c r="Q15" s="2"/>
      <c r="R15" s="2"/>
      <c r="S15" s="2"/>
      <c r="T15" s="2"/>
      <c r="U15" s="2"/>
      <c r="V15" s="2"/>
      <c r="W15" s="2"/>
    </row>
    <row r="16" spans="1:23" x14ac:dyDescent="0.3">
      <c r="A16" s="2"/>
      <c r="B16" s="2"/>
      <c r="C16" s="2"/>
      <c r="D16" s="2"/>
      <c r="E16" s="2"/>
      <c r="F16" s="2"/>
      <c r="G16" s="2"/>
      <c r="H16" s="2"/>
      <c r="I16" s="2"/>
      <c r="J16" s="2"/>
      <c r="K16" s="2"/>
      <c r="L16" s="2"/>
      <c r="M16" s="2"/>
      <c r="N16" s="2"/>
      <c r="O16" s="2"/>
      <c r="P16" s="2"/>
      <c r="Q16" s="2"/>
      <c r="R16" s="2"/>
      <c r="S16" s="2"/>
      <c r="T16" s="2"/>
      <c r="U16" s="2"/>
      <c r="V16" s="2"/>
      <c r="W16" s="2"/>
    </row>
    <row r="17" spans="1:23" x14ac:dyDescent="0.3">
      <c r="A17" s="2"/>
      <c r="B17" s="2"/>
      <c r="C17" s="2"/>
      <c r="D17" s="2"/>
      <c r="E17" s="2"/>
      <c r="F17" s="2"/>
      <c r="G17" s="2"/>
      <c r="H17" s="2"/>
      <c r="I17" s="2"/>
      <c r="J17" s="2"/>
      <c r="K17" s="2"/>
      <c r="L17" s="2"/>
      <c r="M17" s="2"/>
      <c r="N17" s="2"/>
      <c r="O17" s="2"/>
      <c r="P17" s="2"/>
      <c r="Q17" s="2"/>
      <c r="R17" s="2"/>
      <c r="S17" s="2"/>
      <c r="T17" s="2"/>
      <c r="U17" s="2"/>
      <c r="V17" s="2"/>
      <c r="W17" s="2"/>
    </row>
    <row r="18" spans="1:23" x14ac:dyDescent="0.3">
      <c r="A18" s="2"/>
      <c r="B18" s="2"/>
      <c r="C18" s="2"/>
      <c r="D18" s="2"/>
      <c r="E18" s="2"/>
      <c r="F18" s="2"/>
      <c r="G18" s="2"/>
      <c r="H18" s="2"/>
      <c r="I18" s="2"/>
      <c r="J18" s="2"/>
      <c r="K18" s="2"/>
      <c r="L18" s="2"/>
      <c r="M18" s="2"/>
      <c r="N18" s="2"/>
      <c r="O18" s="2"/>
      <c r="P18" s="2"/>
      <c r="Q18" s="2"/>
      <c r="R18" s="2"/>
      <c r="S18" s="2"/>
      <c r="T18" s="2"/>
      <c r="U18" s="2"/>
      <c r="V18" s="2"/>
      <c r="W18" s="2"/>
    </row>
    <row r="19" spans="1:23" ht="15" customHeight="1" x14ac:dyDescent="0.3">
      <c r="A19" s="2"/>
      <c r="B19" s="2"/>
      <c r="C19" s="2"/>
      <c r="D19" s="2"/>
      <c r="E19" s="2"/>
      <c r="F19" s="2"/>
      <c r="G19" s="2"/>
      <c r="H19" s="2"/>
      <c r="I19" s="2"/>
      <c r="J19" s="2"/>
      <c r="K19" s="2"/>
      <c r="L19" s="2"/>
      <c r="M19" s="2"/>
      <c r="N19" s="2"/>
      <c r="O19" s="2"/>
      <c r="P19" s="2"/>
      <c r="Q19" s="2"/>
      <c r="R19" s="2"/>
      <c r="S19" s="2"/>
      <c r="T19" s="2"/>
      <c r="U19" s="2"/>
      <c r="V19" s="2"/>
      <c r="W19" s="2"/>
    </row>
    <row r="20" spans="1:23" x14ac:dyDescent="0.3">
      <c r="A20" s="2"/>
      <c r="B20" s="2"/>
      <c r="C20" s="2"/>
      <c r="D20" s="2"/>
      <c r="E20" s="2"/>
      <c r="F20" s="2"/>
      <c r="G20" s="2"/>
      <c r="H20" s="2"/>
      <c r="I20" s="2"/>
      <c r="J20" s="2"/>
      <c r="K20" s="2"/>
      <c r="L20" s="2"/>
      <c r="M20" s="2"/>
      <c r="N20" s="2"/>
      <c r="O20" s="2"/>
      <c r="P20" s="2"/>
      <c r="Q20" s="2"/>
      <c r="R20" s="2"/>
      <c r="S20" s="2"/>
      <c r="T20" s="2"/>
      <c r="U20" s="2"/>
      <c r="V20" s="2"/>
      <c r="W20" s="2"/>
    </row>
    <row r="21" spans="1:23" x14ac:dyDescent="0.3">
      <c r="A21" s="2"/>
      <c r="B21" s="2"/>
      <c r="C21" s="2"/>
      <c r="D21" s="2"/>
      <c r="E21" s="2"/>
      <c r="F21" s="2"/>
      <c r="G21" s="2"/>
      <c r="H21" s="2"/>
      <c r="I21" s="2"/>
      <c r="J21" s="2"/>
      <c r="K21" s="2"/>
      <c r="L21" s="2"/>
      <c r="M21" s="2"/>
      <c r="N21" s="2"/>
      <c r="O21" s="2"/>
      <c r="P21" s="2"/>
      <c r="Q21" s="2"/>
      <c r="R21" s="2"/>
      <c r="S21" s="2"/>
      <c r="T21" s="2"/>
      <c r="U21" s="2"/>
      <c r="V21" s="2"/>
      <c r="W21" s="2"/>
    </row>
    <row r="22" spans="1:23" x14ac:dyDescent="0.3">
      <c r="A22" s="2"/>
      <c r="B22" s="2"/>
      <c r="C22" s="2"/>
      <c r="D22" s="2"/>
      <c r="E22" s="2"/>
      <c r="F22" s="2"/>
      <c r="G22" s="2"/>
      <c r="H22" s="2"/>
      <c r="I22" s="2"/>
      <c r="J22" s="2"/>
      <c r="K22" s="2"/>
      <c r="L22" s="2"/>
      <c r="M22" s="2"/>
      <c r="N22" s="2"/>
      <c r="O22" s="2"/>
      <c r="P22" s="2"/>
      <c r="Q22" s="2"/>
      <c r="R22" s="2"/>
      <c r="S22" s="2"/>
      <c r="T22" s="2"/>
      <c r="U22" s="2"/>
      <c r="V22" s="2"/>
      <c r="W22" s="2"/>
    </row>
    <row r="23" spans="1:23" x14ac:dyDescent="0.3">
      <c r="A23" s="2"/>
      <c r="B23" s="2"/>
      <c r="C23" s="2"/>
      <c r="D23" s="2"/>
      <c r="E23" s="2"/>
      <c r="F23" s="2"/>
      <c r="G23" s="2"/>
      <c r="H23" s="2"/>
      <c r="I23" s="2"/>
      <c r="J23" s="2"/>
      <c r="K23" s="2"/>
      <c r="L23" s="2"/>
      <c r="M23" s="2"/>
      <c r="N23" s="2"/>
      <c r="O23" s="2"/>
      <c r="P23" s="2"/>
      <c r="Q23" s="2"/>
      <c r="R23" s="2"/>
      <c r="S23" s="2"/>
      <c r="T23" s="2"/>
      <c r="U23" s="2"/>
      <c r="V23" s="2"/>
      <c r="W23" s="2"/>
    </row>
    <row r="24" spans="1:23" x14ac:dyDescent="0.3">
      <c r="A24" s="2"/>
      <c r="B24" s="2"/>
      <c r="C24" s="2"/>
      <c r="D24" s="2"/>
      <c r="E24" s="2"/>
      <c r="F24" s="2"/>
      <c r="G24" s="2"/>
      <c r="H24" s="2"/>
      <c r="I24" s="2"/>
      <c r="J24" s="2"/>
      <c r="K24" s="2"/>
      <c r="L24" s="2"/>
      <c r="M24" s="2"/>
      <c r="N24" s="2"/>
      <c r="O24" s="2"/>
      <c r="P24" s="2"/>
      <c r="Q24" s="2"/>
      <c r="R24" s="2"/>
      <c r="S24" s="2"/>
      <c r="T24" s="2"/>
      <c r="U24" s="2"/>
      <c r="V24" s="2"/>
      <c r="W24" s="2"/>
    </row>
    <row r="25" spans="1:23" x14ac:dyDescent="0.3">
      <c r="A25" s="2"/>
      <c r="B25" s="2"/>
      <c r="C25" s="2"/>
      <c r="D25" s="2"/>
      <c r="E25" s="2"/>
      <c r="F25" s="2"/>
      <c r="G25" s="2"/>
      <c r="H25" s="2"/>
      <c r="I25" s="2"/>
      <c r="J25" s="2"/>
      <c r="K25" s="2"/>
      <c r="L25" s="2"/>
      <c r="M25" s="2"/>
      <c r="N25" s="2"/>
      <c r="O25" s="2"/>
      <c r="P25" s="2"/>
      <c r="Q25" s="2"/>
      <c r="R25" s="2"/>
      <c r="S25" s="2"/>
      <c r="T25" s="2"/>
      <c r="U25" s="2"/>
      <c r="V25" s="2"/>
      <c r="W25" s="2"/>
    </row>
    <row r="26" spans="1:23" x14ac:dyDescent="0.3">
      <c r="A26" s="2"/>
      <c r="B26" s="2"/>
      <c r="C26" s="2"/>
      <c r="D26" s="2"/>
      <c r="E26" s="2"/>
      <c r="F26" s="2"/>
      <c r="G26" s="2"/>
      <c r="H26" s="2"/>
      <c r="I26" s="2"/>
      <c r="J26" s="2"/>
      <c r="K26" s="2"/>
      <c r="L26" s="2"/>
      <c r="M26" s="2"/>
      <c r="N26" s="2"/>
      <c r="O26" s="2"/>
      <c r="P26" s="2"/>
      <c r="Q26" s="2"/>
      <c r="R26" s="2"/>
      <c r="S26" s="2"/>
      <c r="T26" s="2"/>
      <c r="U26" s="2"/>
      <c r="V26" s="2"/>
      <c r="W26" s="2"/>
    </row>
    <row r="27" spans="1:23" x14ac:dyDescent="0.3">
      <c r="A27" s="2"/>
      <c r="B27" s="2"/>
      <c r="C27" s="2"/>
      <c r="D27" s="2"/>
      <c r="E27" s="2"/>
      <c r="F27" s="2"/>
      <c r="G27" s="2"/>
      <c r="H27" s="2"/>
      <c r="I27" s="2"/>
      <c r="J27" s="2"/>
      <c r="K27" s="2"/>
      <c r="L27" s="2"/>
      <c r="M27" s="2"/>
      <c r="N27" s="2"/>
      <c r="O27" s="2"/>
      <c r="P27" s="2"/>
      <c r="Q27" s="2"/>
      <c r="R27" s="2"/>
      <c r="S27" s="2"/>
      <c r="T27" s="2"/>
      <c r="U27" s="2"/>
      <c r="V27" s="2"/>
      <c r="W27" s="2"/>
    </row>
    <row r="28" spans="1:23" x14ac:dyDescent="0.3">
      <c r="A28" s="2"/>
      <c r="B28" s="2"/>
      <c r="C28" s="2"/>
      <c r="D28" s="2"/>
      <c r="E28" s="2"/>
      <c r="F28" s="2"/>
      <c r="G28" s="2"/>
      <c r="H28" s="2"/>
      <c r="I28" s="2"/>
      <c r="J28" s="2"/>
      <c r="K28" s="2"/>
      <c r="L28" s="2"/>
      <c r="M28" s="2"/>
      <c r="N28" s="2"/>
      <c r="O28" s="2"/>
      <c r="P28" s="2"/>
      <c r="Q28" s="2"/>
      <c r="R28" s="2"/>
      <c r="S28" s="2"/>
      <c r="T28" s="2"/>
      <c r="U28" s="2"/>
      <c r="V28" s="2"/>
      <c r="W28" s="2"/>
    </row>
    <row r="29" spans="1:23" x14ac:dyDescent="0.3">
      <c r="A29" s="2"/>
      <c r="B29" s="2"/>
      <c r="C29" s="2"/>
      <c r="D29" s="2"/>
      <c r="E29" s="2"/>
      <c r="F29" s="2"/>
      <c r="G29" s="2"/>
      <c r="H29" s="2"/>
      <c r="I29" s="2"/>
      <c r="J29" s="2"/>
      <c r="K29" s="2"/>
      <c r="L29" s="2"/>
      <c r="M29" s="2"/>
      <c r="N29" s="2"/>
      <c r="O29" s="2"/>
      <c r="P29" s="2"/>
      <c r="Q29" s="2"/>
      <c r="R29" s="2"/>
      <c r="S29" s="2"/>
      <c r="T29" s="2"/>
      <c r="U29" s="2"/>
      <c r="V29" s="2"/>
      <c r="W29" s="2"/>
    </row>
    <row r="30" spans="1:23" x14ac:dyDescent="0.3">
      <c r="A30" s="2"/>
      <c r="B30" s="2"/>
      <c r="C30" s="2"/>
      <c r="D30" s="2"/>
      <c r="E30" s="2"/>
      <c r="F30" s="2"/>
      <c r="G30" s="2"/>
      <c r="H30" s="2"/>
      <c r="I30" s="2"/>
      <c r="J30" s="2"/>
      <c r="K30" s="2"/>
      <c r="L30" s="2"/>
      <c r="M30" s="2"/>
      <c r="N30" s="2"/>
      <c r="O30" s="2"/>
      <c r="P30" s="2"/>
      <c r="Q30" s="2"/>
      <c r="R30" s="2"/>
      <c r="S30" s="2"/>
      <c r="T30" s="2"/>
      <c r="U30" s="2"/>
      <c r="V30" s="2"/>
      <c r="W30" s="2"/>
    </row>
    <row r="31" spans="1:23" x14ac:dyDescent="0.3">
      <c r="A31" s="2"/>
      <c r="B31" s="2"/>
      <c r="C31" s="2"/>
      <c r="D31" s="2"/>
      <c r="E31" s="2"/>
      <c r="F31" s="2"/>
      <c r="G31" s="2"/>
      <c r="H31" s="2"/>
      <c r="I31" s="2"/>
      <c r="J31" s="2"/>
      <c r="K31" s="2"/>
      <c r="L31" s="2"/>
      <c r="M31" s="2"/>
      <c r="N31" s="2"/>
      <c r="O31" s="2"/>
      <c r="P31" s="2"/>
      <c r="Q31" s="2"/>
      <c r="R31" s="2"/>
      <c r="S31" s="2"/>
      <c r="T31" s="2"/>
      <c r="U31" s="2"/>
      <c r="V31" s="2"/>
      <c r="W31" s="2"/>
    </row>
    <row r="32" spans="1:23" x14ac:dyDescent="0.3">
      <c r="A32" s="2"/>
      <c r="B32" s="2"/>
      <c r="C32" s="2"/>
      <c r="D32" s="2"/>
      <c r="E32" s="2"/>
      <c r="F32" s="2"/>
      <c r="G32" s="2"/>
      <c r="H32" s="2"/>
      <c r="I32" s="2"/>
      <c r="J32" s="2"/>
      <c r="K32" s="2"/>
      <c r="L32" s="2"/>
      <c r="M32" s="2"/>
      <c r="N32" s="2"/>
      <c r="O32" s="2"/>
      <c r="P32" s="2"/>
      <c r="Q32" s="2"/>
      <c r="R32" s="2"/>
      <c r="S32" s="2"/>
      <c r="T32" s="2"/>
      <c r="U32" s="2"/>
      <c r="V32" s="2"/>
      <c r="W32" s="2"/>
    </row>
    <row r="33" spans="1:23" x14ac:dyDescent="0.3">
      <c r="A33" s="2"/>
      <c r="B33" s="2"/>
      <c r="C33" s="2"/>
      <c r="D33" s="2"/>
      <c r="E33" s="2"/>
      <c r="F33" s="2"/>
      <c r="G33" s="2"/>
      <c r="H33" s="2"/>
      <c r="I33" s="2"/>
      <c r="J33" s="2"/>
      <c r="K33" s="2"/>
      <c r="L33" s="2"/>
      <c r="M33" s="2"/>
      <c r="N33" s="2"/>
      <c r="O33" s="2"/>
      <c r="P33" s="2"/>
      <c r="Q33" s="2"/>
      <c r="R33" s="2"/>
      <c r="S33" s="2"/>
      <c r="T33" s="2"/>
      <c r="U33" s="2"/>
      <c r="V33" s="2"/>
      <c r="W33" s="2"/>
    </row>
    <row r="34" spans="1:23" x14ac:dyDescent="0.3">
      <c r="A34" s="2"/>
      <c r="B34" s="2"/>
      <c r="C34" s="2"/>
      <c r="D34" s="2"/>
      <c r="E34" s="2"/>
      <c r="F34" s="2"/>
      <c r="G34" s="2"/>
      <c r="H34" s="2"/>
      <c r="I34" s="2"/>
      <c r="J34" s="2"/>
      <c r="K34" s="2"/>
      <c r="L34" s="2"/>
      <c r="M34" s="2"/>
      <c r="N34" s="2"/>
      <c r="O34" s="2"/>
      <c r="P34" s="2"/>
      <c r="Q34" s="2"/>
      <c r="R34" s="2"/>
      <c r="S34" s="2"/>
      <c r="T34" s="2"/>
      <c r="U34" s="2"/>
      <c r="V34" s="2"/>
      <c r="W34" s="2"/>
    </row>
    <row r="35" spans="1:23" x14ac:dyDescent="0.3">
      <c r="A35" s="2"/>
      <c r="B35" s="2"/>
      <c r="C35" s="2"/>
      <c r="D35" s="2"/>
      <c r="E35" s="2"/>
      <c r="F35" s="2"/>
      <c r="G35" s="2"/>
      <c r="H35" s="2"/>
      <c r="I35" s="2"/>
      <c r="J35" s="2"/>
      <c r="K35" s="2"/>
      <c r="L35" s="2"/>
      <c r="M35" s="2"/>
      <c r="N35" s="2"/>
      <c r="O35" s="2"/>
      <c r="P35" s="2"/>
      <c r="Q35" s="2"/>
      <c r="R35" s="2"/>
      <c r="S35" s="2"/>
      <c r="T35" s="2"/>
      <c r="U35" s="2"/>
      <c r="V35" s="2"/>
      <c r="W35" s="2"/>
    </row>
    <row r="36" spans="1:23" x14ac:dyDescent="0.3">
      <c r="A36" s="2"/>
      <c r="B36" s="2"/>
      <c r="C36" s="2"/>
      <c r="D36" s="2"/>
      <c r="E36" s="2"/>
      <c r="F36" s="2"/>
      <c r="G36" s="2"/>
      <c r="H36" s="2"/>
      <c r="I36" s="2"/>
      <c r="J36" s="2"/>
      <c r="K36" s="2"/>
      <c r="L36" s="2"/>
      <c r="M36" s="2"/>
      <c r="N36" s="2"/>
      <c r="O36" s="2"/>
      <c r="P36" s="2"/>
      <c r="Q36" s="2"/>
      <c r="R36" s="2"/>
      <c r="S36" s="2"/>
      <c r="T36" s="2"/>
      <c r="U36" s="2"/>
      <c r="V36" s="2"/>
      <c r="W36" s="2"/>
    </row>
    <row r="37" spans="1:23" x14ac:dyDescent="0.3">
      <c r="A37" s="2"/>
      <c r="B37" s="2"/>
      <c r="C37" s="2"/>
      <c r="D37" s="2"/>
      <c r="E37" s="2"/>
      <c r="F37" s="2"/>
      <c r="G37" s="2"/>
      <c r="H37" s="2"/>
      <c r="I37" s="2"/>
      <c r="J37" s="2"/>
      <c r="K37" s="2"/>
      <c r="L37" s="2"/>
      <c r="M37" s="2"/>
      <c r="N37" s="2"/>
      <c r="O37" s="2"/>
      <c r="P37" s="2"/>
      <c r="Q37" s="2"/>
      <c r="R37" s="2"/>
      <c r="S37" s="2"/>
      <c r="T37" s="2"/>
      <c r="U37" s="2"/>
      <c r="V37" s="2"/>
      <c r="W37" s="2"/>
    </row>
    <row r="38" spans="1:23" x14ac:dyDescent="0.3">
      <c r="A38" s="2"/>
      <c r="B38" s="2"/>
      <c r="C38" s="2"/>
      <c r="D38" s="2"/>
      <c r="E38" s="2"/>
      <c r="F38" s="2"/>
      <c r="G38" s="2"/>
      <c r="H38" s="2"/>
      <c r="I38" s="2"/>
      <c r="J38" s="2"/>
      <c r="K38" s="2"/>
      <c r="L38" s="2"/>
      <c r="M38" s="2"/>
      <c r="N38" s="2"/>
      <c r="O38" s="2"/>
      <c r="P38" s="2"/>
      <c r="Q38" s="2"/>
      <c r="R38" s="2"/>
      <c r="S38" s="2"/>
      <c r="T38" s="2"/>
      <c r="U38" s="2"/>
      <c r="V38" s="2"/>
      <c r="W38" s="2"/>
    </row>
    <row r="39" spans="1:23" x14ac:dyDescent="0.3">
      <c r="A39" s="2"/>
      <c r="B39" s="2"/>
      <c r="C39" s="2"/>
      <c r="D39" s="2"/>
      <c r="E39" s="2"/>
      <c r="F39" s="2"/>
      <c r="G39" s="2"/>
      <c r="H39" s="2"/>
      <c r="I39" s="2"/>
      <c r="J39" s="2"/>
      <c r="K39" s="2"/>
      <c r="L39" s="2"/>
      <c r="M39" s="2"/>
      <c r="N39" s="2"/>
      <c r="O39" s="2"/>
      <c r="P39" s="2"/>
      <c r="Q39" s="2"/>
      <c r="R39" s="2"/>
      <c r="S39" s="2"/>
      <c r="T39" s="2"/>
      <c r="U39" s="2"/>
      <c r="V39" s="2"/>
      <c r="W39" s="2"/>
    </row>
    <row r="40" spans="1:23" x14ac:dyDescent="0.3">
      <c r="A40" s="2"/>
      <c r="B40" s="2"/>
      <c r="C40" s="2"/>
      <c r="D40" s="2"/>
      <c r="E40" s="2"/>
      <c r="F40" s="2"/>
      <c r="G40" s="2"/>
      <c r="H40" s="2"/>
      <c r="I40" s="2"/>
      <c r="J40" s="2"/>
      <c r="K40" s="2"/>
      <c r="L40" s="2"/>
      <c r="M40" s="2"/>
      <c r="N40" s="2"/>
      <c r="O40" s="2"/>
      <c r="P40" s="2"/>
      <c r="Q40" s="2"/>
      <c r="R40" s="2"/>
      <c r="S40" s="2"/>
      <c r="T40" s="2"/>
      <c r="U40" s="2"/>
      <c r="V40" s="2"/>
      <c r="W40" s="2"/>
    </row>
    <row r="41" spans="1:23" x14ac:dyDescent="0.3">
      <c r="A41" s="2"/>
      <c r="B41" s="2"/>
      <c r="C41" s="2"/>
      <c r="D41" s="2"/>
      <c r="E41" s="2"/>
      <c r="F41" s="2"/>
      <c r="G41" s="2"/>
      <c r="H41" s="2"/>
      <c r="I41" s="2"/>
      <c r="J41" s="2"/>
      <c r="K41" s="2"/>
      <c r="L41" s="2"/>
      <c r="M41" s="2"/>
      <c r="N41" s="2"/>
      <c r="O41" s="2"/>
      <c r="P41" s="2"/>
      <c r="Q41" s="2"/>
      <c r="R41" s="2"/>
      <c r="S41" s="2"/>
      <c r="T41" s="2"/>
      <c r="U41" s="2"/>
      <c r="V41" s="2"/>
      <c r="W41" s="2"/>
    </row>
    <row r="42" spans="1:23" x14ac:dyDescent="0.3">
      <c r="A42" s="2"/>
      <c r="B42" s="2"/>
      <c r="C42" s="2"/>
      <c r="D42" s="2"/>
      <c r="E42" s="2"/>
      <c r="F42" s="2"/>
      <c r="G42" s="2"/>
      <c r="H42" s="2"/>
      <c r="I42" s="2"/>
      <c r="J42" s="2"/>
      <c r="K42" s="2"/>
      <c r="L42" s="2"/>
      <c r="M42" s="2"/>
      <c r="N42" s="2"/>
      <c r="O42" s="2"/>
      <c r="P42" s="2"/>
      <c r="Q42" s="2"/>
      <c r="R42" s="2"/>
      <c r="S42" s="2"/>
      <c r="T42" s="2"/>
      <c r="U42" s="2"/>
      <c r="V42" s="2"/>
      <c r="W42" s="2"/>
    </row>
    <row r="43" spans="1:23" x14ac:dyDescent="0.3">
      <c r="A43" s="2"/>
      <c r="B43" s="2"/>
      <c r="C43" s="2"/>
      <c r="D43" s="2"/>
      <c r="E43" s="2"/>
      <c r="F43" s="2"/>
      <c r="G43" s="2"/>
      <c r="H43" s="2"/>
      <c r="I43" s="2"/>
      <c r="J43" s="2"/>
      <c r="K43" s="2"/>
      <c r="L43" s="2"/>
      <c r="M43" s="2"/>
      <c r="N43" s="2"/>
      <c r="O43" s="2"/>
      <c r="P43" s="2"/>
      <c r="Q43" s="2"/>
      <c r="R43" s="2"/>
      <c r="S43" s="2"/>
      <c r="T43" s="2"/>
      <c r="U43" s="2"/>
      <c r="V43" s="2"/>
      <c r="W43" s="2"/>
    </row>
    <row r="44" spans="1:23" x14ac:dyDescent="0.3">
      <c r="A44" s="2"/>
      <c r="B44" s="2"/>
      <c r="C44" s="2"/>
      <c r="D44" s="2"/>
      <c r="E44" s="2"/>
      <c r="F44" s="2"/>
      <c r="G44" s="2"/>
      <c r="H44" s="2"/>
      <c r="I44" s="2"/>
      <c r="J44" s="2"/>
      <c r="K44" s="2"/>
      <c r="L44" s="2"/>
      <c r="M44" s="2"/>
      <c r="N44" s="2"/>
      <c r="O44" s="2"/>
      <c r="P44" s="2"/>
      <c r="Q44" s="2"/>
      <c r="R44" s="2"/>
      <c r="S44" s="2"/>
      <c r="T44" s="2"/>
      <c r="U44" s="2"/>
      <c r="V44" s="2"/>
      <c r="W44" s="2"/>
    </row>
    <row r="45" spans="1:23" x14ac:dyDescent="0.3">
      <c r="A45" s="2"/>
      <c r="B45" s="2"/>
      <c r="C45" s="2"/>
      <c r="D45" s="2"/>
      <c r="E45" s="2"/>
      <c r="F45" s="2"/>
      <c r="G45" s="2"/>
      <c r="H45" s="2"/>
      <c r="I45" s="2"/>
      <c r="J45" s="2"/>
      <c r="K45" s="2"/>
      <c r="L45" s="2"/>
      <c r="M45" s="2"/>
      <c r="N45" s="2"/>
      <c r="O45" s="2"/>
      <c r="P45" s="2"/>
      <c r="Q45" s="2"/>
      <c r="R45" s="2"/>
      <c r="S45" s="2"/>
      <c r="T45" s="2"/>
      <c r="U45" s="2"/>
      <c r="V45" s="2"/>
      <c r="W45" s="2"/>
    </row>
    <row r="46" spans="1:23" x14ac:dyDescent="0.3">
      <c r="A46" s="2"/>
      <c r="B46" s="2"/>
      <c r="C46" s="2"/>
      <c r="D46" s="2"/>
      <c r="E46" s="2"/>
      <c r="F46" s="2"/>
      <c r="G46" s="2"/>
      <c r="H46" s="2"/>
      <c r="I46" s="2"/>
      <c r="J46" s="2"/>
      <c r="K46" s="2"/>
      <c r="L46" s="2"/>
      <c r="M46" s="2"/>
      <c r="N46" s="2"/>
      <c r="O46" s="2"/>
      <c r="P46" s="2"/>
      <c r="Q46" s="2"/>
      <c r="R46" s="2"/>
      <c r="S46" s="2"/>
      <c r="T46" s="2"/>
      <c r="U46" s="2"/>
      <c r="V46" s="2"/>
      <c r="W46" s="2"/>
    </row>
    <row r="47" spans="1:23" x14ac:dyDescent="0.3">
      <c r="A47" s="2"/>
      <c r="B47" s="2"/>
      <c r="C47" s="2"/>
      <c r="D47" s="2"/>
      <c r="E47" s="2"/>
      <c r="F47" s="2"/>
      <c r="G47" s="2"/>
      <c r="H47" s="2"/>
      <c r="I47" s="2"/>
      <c r="J47" s="2"/>
      <c r="K47" s="2"/>
      <c r="L47" s="2"/>
      <c r="M47" s="2"/>
      <c r="N47" s="2"/>
      <c r="O47" s="2"/>
      <c r="P47" s="2"/>
      <c r="Q47" s="2"/>
      <c r="R47" s="2"/>
      <c r="S47" s="2"/>
      <c r="T47" s="2"/>
      <c r="U47" s="2"/>
      <c r="V47" s="2"/>
      <c r="W47" s="2"/>
    </row>
    <row r="48" spans="1:23" x14ac:dyDescent="0.3">
      <c r="A48" s="2"/>
      <c r="B48" s="2"/>
      <c r="C48" s="2"/>
      <c r="D48" s="2"/>
      <c r="E48" s="2"/>
      <c r="F48" s="2"/>
      <c r="G48" s="2"/>
      <c r="H48" s="2"/>
      <c r="I48" s="2"/>
      <c r="J48" s="2"/>
      <c r="K48" s="2"/>
      <c r="L48" s="2"/>
      <c r="M48" s="2"/>
      <c r="N48" s="2"/>
      <c r="O48" s="2"/>
      <c r="P48" s="2"/>
      <c r="Q48" s="2"/>
      <c r="R48" s="2"/>
      <c r="S48" s="2"/>
      <c r="T48" s="2"/>
      <c r="U48" s="2"/>
      <c r="V48" s="2"/>
      <c r="W48" s="2"/>
    </row>
    <row r="49" spans="1:23" x14ac:dyDescent="0.3">
      <c r="A49" s="2"/>
      <c r="B49" s="2"/>
      <c r="C49" s="2"/>
      <c r="D49" s="2"/>
      <c r="E49" s="2"/>
      <c r="F49" s="2"/>
      <c r="G49" s="2"/>
      <c r="H49" s="2"/>
      <c r="I49" s="2"/>
      <c r="J49" s="2"/>
      <c r="K49" s="2"/>
      <c r="L49" s="2"/>
      <c r="M49" s="2"/>
      <c r="N49" s="2"/>
      <c r="O49" s="2"/>
      <c r="P49" s="2"/>
      <c r="Q49" s="2"/>
      <c r="R49" s="2"/>
      <c r="S49" s="2"/>
      <c r="T49" s="2"/>
      <c r="U49" s="2"/>
      <c r="V49" s="2"/>
      <c r="W49" s="2"/>
    </row>
    <row r="50" spans="1:23" x14ac:dyDescent="0.3">
      <c r="A50" s="2"/>
      <c r="B50" s="2"/>
      <c r="C50" s="2"/>
      <c r="D50" s="2"/>
      <c r="E50" s="2"/>
      <c r="F50" s="2"/>
      <c r="G50" s="2"/>
      <c r="H50" s="2"/>
      <c r="I50" s="2"/>
      <c r="J50" s="2"/>
      <c r="K50" s="2"/>
      <c r="L50" s="2"/>
      <c r="M50" s="2"/>
      <c r="N50" s="2"/>
      <c r="O50" s="2"/>
      <c r="P50" s="2"/>
      <c r="Q50" s="2"/>
      <c r="R50" s="2"/>
      <c r="S50" s="2"/>
      <c r="T50" s="2"/>
      <c r="U50" s="2"/>
      <c r="V50" s="2"/>
      <c r="W50" s="2"/>
    </row>
    <row r="51" spans="1:23" x14ac:dyDescent="0.3">
      <c r="A51" s="2"/>
      <c r="B51" s="2"/>
      <c r="C51" s="2"/>
      <c r="D51" s="2"/>
      <c r="E51" s="2"/>
      <c r="F51" s="2"/>
      <c r="G51" s="2"/>
      <c r="H51" s="2"/>
      <c r="I51" s="2"/>
      <c r="J51" s="2"/>
      <c r="K51" s="2"/>
      <c r="L51" s="2"/>
      <c r="M51" s="2"/>
      <c r="N51" s="2"/>
      <c r="O51" s="2"/>
      <c r="P51" s="2"/>
      <c r="Q51" s="2"/>
      <c r="R51" s="2"/>
      <c r="S51" s="2"/>
      <c r="T51" s="2"/>
      <c r="U51" s="2"/>
      <c r="V51" s="2"/>
      <c r="W51" s="2"/>
    </row>
    <row r="52" spans="1:23" x14ac:dyDescent="0.3">
      <c r="A52" s="2"/>
      <c r="B52" s="2"/>
      <c r="C52" s="2"/>
      <c r="D52" s="2"/>
      <c r="E52" s="2"/>
      <c r="F52" s="2"/>
      <c r="G52" s="2"/>
      <c r="H52" s="2"/>
      <c r="I52" s="2"/>
      <c r="J52" s="2"/>
      <c r="K52" s="2"/>
      <c r="L52" s="2"/>
      <c r="M52" s="2"/>
      <c r="N52" s="2"/>
      <c r="O52" s="2"/>
      <c r="P52" s="2"/>
      <c r="Q52" s="2"/>
      <c r="R52" s="2"/>
      <c r="S52" s="2"/>
      <c r="T52" s="2"/>
      <c r="U52" s="2"/>
      <c r="V52" s="2"/>
      <c r="W52" s="2"/>
    </row>
    <row r="53" spans="1:23" x14ac:dyDescent="0.3">
      <c r="A53" s="2"/>
      <c r="B53" s="2"/>
      <c r="C53" s="2"/>
      <c r="D53" s="2"/>
      <c r="E53" s="2"/>
      <c r="F53" s="2"/>
      <c r="G53" s="2"/>
      <c r="H53" s="2"/>
      <c r="I53" s="2"/>
      <c r="J53" s="2"/>
      <c r="K53" s="2"/>
      <c r="L53" s="2"/>
      <c r="M53" s="2"/>
      <c r="N53" s="2"/>
      <c r="O53" s="2"/>
      <c r="P53" s="2"/>
      <c r="Q53" s="2"/>
      <c r="R53" s="2"/>
      <c r="S53" s="2"/>
      <c r="T53" s="2"/>
      <c r="U53" s="2"/>
      <c r="V53" s="2"/>
      <c r="W53" s="2"/>
    </row>
    <row r="54" spans="1:23" x14ac:dyDescent="0.3">
      <c r="A54" s="2"/>
      <c r="B54" s="2"/>
      <c r="C54" s="2"/>
      <c r="D54" s="2"/>
      <c r="E54" s="2"/>
      <c r="F54" s="2"/>
      <c r="G54" s="2"/>
      <c r="H54" s="2"/>
      <c r="I54" s="2"/>
      <c r="J54" s="2"/>
      <c r="K54" s="2"/>
      <c r="L54" s="2"/>
      <c r="M54" s="2"/>
      <c r="N54" s="2"/>
      <c r="O54" s="2"/>
      <c r="P54" s="2"/>
      <c r="Q54" s="2"/>
      <c r="R54" s="2"/>
      <c r="S54" s="2"/>
      <c r="T54" s="2"/>
      <c r="U54" s="2"/>
      <c r="V54" s="2"/>
      <c r="W54" s="2"/>
    </row>
    <row r="55" spans="1:23" x14ac:dyDescent="0.3">
      <c r="A55" s="2"/>
      <c r="B55" s="2"/>
      <c r="C55" s="2"/>
      <c r="D55" s="2"/>
      <c r="E55" s="2"/>
      <c r="F55" s="2"/>
      <c r="G55" s="2"/>
      <c r="H55" s="2"/>
      <c r="I55" s="2"/>
      <c r="J55" s="2"/>
      <c r="K55" s="2"/>
      <c r="L55" s="2"/>
      <c r="M55" s="2"/>
      <c r="N55" s="2"/>
      <c r="O55" s="2"/>
      <c r="P55" s="2"/>
      <c r="Q55" s="2"/>
      <c r="R55" s="2"/>
      <c r="S55" s="2"/>
      <c r="T55" s="2"/>
      <c r="U55" s="2"/>
      <c r="V55" s="2"/>
      <c r="W55" s="2"/>
    </row>
    <row r="56" spans="1:23" x14ac:dyDescent="0.3">
      <c r="A56" s="2"/>
      <c r="B56" s="2"/>
      <c r="C56" s="2"/>
      <c r="D56" s="2"/>
      <c r="E56" s="2"/>
      <c r="F56" s="2"/>
      <c r="G56" s="2"/>
      <c r="H56" s="2"/>
      <c r="I56" s="2"/>
      <c r="J56" s="2"/>
      <c r="K56" s="2"/>
      <c r="L56" s="2"/>
      <c r="M56" s="2"/>
      <c r="N56" s="2"/>
      <c r="O56" s="2"/>
      <c r="P56" s="2"/>
      <c r="Q56" s="2"/>
      <c r="R56" s="2"/>
      <c r="S56" s="2"/>
      <c r="T56" s="2"/>
      <c r="U56" s="2"/>
      <c r="V56" s="2"/>
      <c r="W56" s="2"/>
    </row>
    <row r="57" spans="1:23" x14ac:dyDescent="0.3">
      <c r="A57" s="2"/>
      <c r="B57" s="2"/>
      <c r="C57" s="2"/>
      <c r="D57" s="2"/>
      <c r="E57" s="2"/>
      <c r="F57" s="2"/>
      <c r="G57" s="2"/>
      <c r="H57" s="2"/>
      <c r="I57" s="2"/>
      <c r="J57" s="2"/>
      <c r="K57" s="2"/>
      <c r="L57" s="2"/>
      <c r="M57" s="2"/>
      <c r="N57" s="2"/>
      <c r="O57" s="2"/>
      <c r="P57" s="2"/>
      <c r="Q57" s="2"/>
      <c r="R57" s="2"/>
      <c r="S57" s="2"/>
      <c r="T57" s="2"/>
      <c r="U57" s="2"/>
      <c r="V57" s="2"/>
      <c r="W57" s="2"/>
    </row>
    <row r="58" spans="1:23" x14ac:dyDescent="0.3">
      <c r="A58" s="2"/>
      <c r="B58" s="2"/>
      <c r="C58" s="2"/>
      <c r="D58" s="2"/>
      <c r="E58" s="2"/>
      <c r="F58" s="2"/>
      <c r="G58" s="2"/>
      <c r="H58" s="2"/>
      <c r="I58" s="2"/>
      <c r="J58" s="2"/>
      <c r="K58" s="2"/>
      <c r="L58" s="2"/>
      <c r="M58" s="2"/>
      <c r="N58" s="2"/>
      <c r="O58" s="2"/>
      <c r="P58" s="2"/>
      <c r="Q58" s="2"/>
      <c r="R58" s="2"/>
      <c r="S58" s="2"/>
      <c r="T58" s="2"/>
      <c r="U58" s="2"/>
      <c r="V58" s="2"/>
      <c r="W58" s="2"/>
    </row>
    <row r="59" spans="1:23" x14ac:dyDescent="0.3">
      <c r="A59" s="2"/>
      <c r="B59" s="2"/>
      <c r="C59" s="2"/>
      <c r="D59" s="2"/>
      <c r="E59" s="2"/>
      <c r="F59" s="2"/>
      <c r="G59" s="2"/>
      <c r="H59" s="2"/>
      <c r="I59" s="2"/>
      <c r="J59" s="2"/>
      <c r="K59" s="2"/>
      <c r="L59" s="2"/>
      <c r="M59" s="2"/>
      <c r="N59" s="2"/>
      <c r="O59" s="2"/>
      <c r="P59" s="2"/>
      <c r="Q59" s="2"/>
      <c r="R59" s="2"/>
      <c r="S59" s="2"/>
      <c r="T59" s="2"/>
      <c r="U59" s="2"/>
      <c r="V59" s="2"/>
      <c r="W59" s="2"/>
    </row>
    <row r="60" spans="1:23" x14ac:dyDescent="0.3">
      <c r="A60" s="2"/>
      <c r="B60" s="2"/>
      <c r="C60" s="2"/>
      <c r="D60" s="2"/>
      <c r="E60" s="2"/>
      <c r="F60" s="2"/>
      <c r="G60" s="2"/>
      <c r="H60" s="2"/>
      <c r="I60" s="2"/>
      <c r="J60" s="2"/>
      <c r="K60" s="2"/>
      <c r="L60" s="2"/>
      <c r="M60" s="2"/>
      <c r="N60" s="2"/>
      <c r="O60" s="2"/>
      <c r="P60" s="2"/>
      <c r="Q60" s="2"/>
      <c r="R60" s="2"/>
      <c r="S60" s="2"/>
      <c r="T60" s="2"/>
      <c r="U60" s="2"/>
      <c r="V60" s="2"/>
      <c r="W60" s="2"/>
    </row>
    <row r="61" spans="1:23" x14ac:dyDescent="0.3">
      <c r="A61" s="2"/>
      <c r="B61" s="2"/>
      <c r="C61" s="2"/>
      <c r="D61" s="2"/>
      <c r="E61" s="2"/>
      <c r="F61" s="2"/>
      <c r="G61" s="2"/>
      <c r="H61" s="2"/>
      <c r="I61" s="2"/>
      <c r="J61" s="2"/>
      <c r="K61" s="2"/>
      <c r="L61" s="2"/>
      <c r="M61" s="2"/>
      <c r="N61" s="2"/>
      <c r="O61" s="2"/>
      <c r="P61" s="2"/>
      <c r="Q61" s="2"/>
      <c r="R61" s="2"/>
      <c r="S61" s="2"/>
      <c r="T61" s="2"/>
      <c r="U61" s="2"/>
      <c r="V61" s="2"/>
      <c r="W61" s="2"/>
    </row>
    <row r="62" spans="1:23" x14ac:dyDescent="0.3">
      <c r="A62" s="2"/>
      <c r="B62" s="2"/>
      <c r="C62" s="2"/>
      <c r="D62" s="2"/>
      <c r="E62" s="2"/>
      <c r="F62" s="2"/>
      <c r="G62" s="2"/>
      <c r="H62" s="2"/>
      <c r="I62" s="2"/>
      <c r="J62" s="2"/>
      <c r="K62" s="2"/>
      <c r="L62" s="2"/>
      <c r="M62" s="2"/>
      <c r="N62" s="2"/>
      <c r="O62" s="2"/>
      <c r="P62" s="2"/>
      <c r="Q62" s="2"/>
      <c r="R62" s="2"/>
      <c r="S62" s="2"/>
      <c r="T62" s="2"/>
      <c r="U62" s="2"/>
      <c r="V62" s="2"/>
      <c r="W62" s="2"/>
    </row>
    <row r="63" spans="1:23" x14ac:dyDescent="0.3">
      <c r="A63" s="2"/>
      <c r="B63" s="2"/>
      <c r="C63" s="2"/>
      <c r="D63" s="2"/>
      <c r="E63" s="2"/>
      <c r="F63" s="2"/>
      <c r="G63" s="2"/>
      <c r="H63" s="2"/>
      <c r="I63" s="2"/>
      <c r="J63" s="2"/>
      <c r="K63" s="2"/>
      <c r="L63" s="2"/>
      <c r="M63" s="2"/>
      <c r="N63" s="2"/>
      <c r="O63" s="2"/>
      <c r="P63" s="2"/>
      <c r="Q63" s="2"/>
      <c r="R63" s="2"/>
      <c r="S63" s="2"/>
      <c r="T63" s="2"/>
      <c r="U63" s="2"/>
      <c r="V63" s="2"/>
      <c r="W63" s="2"/>
    </row>
    <row r="64" spans="1:23" x14ac:dyDescent="0.3">
      <c r="A64" s="2"/>
      <c r="B64" s="2"/>
      <c r="C64" s="2"/>
      <c r="D64" s="2"/>
      <c r="E64" s="2"/>
      <c r="F64" s="2"/>
      <c r="G64" s="2"/>
      <c r="H64" s="2"/>
      <c r="I64" s="2"/>
      <c r="J64" s="2"/>
      <c r="K64" s="2"/>
      <c r="L64" s="2"/>
      <c r="M64" s="2"/>
      <c r="N64" s="2"/>
      <c r="O64" s="2"/>
      <c r="P64" s="2"/>
      <c r="Q64" s="2"/>
      <c r="R64" s="2"/>
      <c r="S64" s="2"/>
      <c r="T64" s="2"/>
      <c r="U64" s="2"/>
      <c r="V64" s="2"/>
      <c r="W64" s="2"/>
    </row>
    <row r="65" spans="1:23" x14ac:dyDescent="0.3">
      <c r="A65" s="2"/>
      <c r="B65" s="2"/>
      <c r="C65" s="2"/>
      <c r="D65" s="2"/>
      <c r="E65" s="2"/>
      <c r="F65" s="2"/>
      <c r="G65" s="2"/>
      <c r="H65" s="2"/>
      <c r="I65" s="2"/>
      <c r="J65" s="2"/>
      <c r="K65" s="2"/>
      <c r="L65" s="2"/>
      <c r="M65" s="2"/>
      <c r="N65" s="2"/>
      <c r="O65" s="2"/>
      <c r="P65" s="2"/>
      <c r="Q65" s="2"/>
      <c r="R65" s="2"/>
      <c r="S65" s="2"/>
      <c r="T65" s="2"/>
      <c r="U65" s="2"/>
      <c r="V65" s="2"/>
      <c r="W65" s="2"/>
    </row>
    <row r="66" spans="1:23" x14ac:dyDescent="0.3">
      <c r="A66" s="2"/>
      <c r="B66" s="2"/>
      <c r="C66" s="2"/>
      <c r="D66" s="2"/>
      <c r="E66" s="2"/>
      <c r="F66" s="2"/>
      <c r="G66" s="2"/>
      <c r="H66" s="2"/>
      <c r="I66" s="2"/>
      <c r="J66" s="2"/>
      <c r="K66" s="2"/>
      <c r="L66" s="2"/>
      <c r="M66" s="2"/>
      <c r="N66" s="2"/>
      <c r="O66" s="2"/>
      <c r="P66" s="2"/>
      <c r="Q66" s="2"/>
      <c r="R66" s="2"/>
      <c r="S66" s="2"/>
      <c r="T66" s="2"/>
      <c r="U66" s="2"/>
      <c r="V66" s="2"/>
      <c r="W66" s="2"/>
    </row>
    <row r="67" spans="1:23" x14ac:dyDescent="0.3">
      <c r="A67" s="2"/>
      <c r="B67" s="2"/>
      <c r="C67" s="2"/>
      <c r="D67" s="2"/>
      <c r="E67" s="2"/>
      <c r="F67" s="2"/>
      <c r="G67" s="2"/>
      <c r="H67" s="2"/>
      <c r="I67" s="2"/>
      <c r="J67" s="2"/>
      <c r="K67" s="2"/>
      <c r="L67" s="2"/>
      <c r="M67" s="2"/>
      <c r="N67" s="2"/>
      <c r="O67" s="2"/>
      <c r="P67" s="2"/>
      <c r="Q67" s="2"/>
      <c r="R67" s="2"/>
      <c r="S67" s="2"/>
      <c r="T67" s="2"/>
      <c r="U67" s="2"/>
      <c r="V67" s="2"/>
      <c r="W67" s="2"/>
    </row>
    <row r="68" spans="1:23" x14ac:dyDescent="0.3">
      <c r="A68" s="2"/>
      <c r="B68" s="2"/>
      <c r="C68" s="2"/>
      <c r="D68" s="2"/>
      <c r="E68" s="2"/>
      <c r="F68" s="2"/>
      <c r="G68" s="2"/>
      <c r="H68" s="2"/>
      <c r="I68" s="2"/>
      <c r="J68" s="2"/>
      <c r="K68" s="2"/>
      <c r="L68" s="2"/>
      <c r="M68" s="2"/>
      <c r="N68" s="2"/>
      <c r="O68" s="2"/>
      <c r="P68" s="2"/>
      <c r="Q68" s="2"/>
      <c r="R68" s="2"/>
      <c r="S68" s="2"/>
      <c r="T68" s="2"/>
      <c r="U68" s="2"/>
      <c r="V68" s="2"/>
      <c r="W68" s="2"/>
    </row>
    <row r="69" spans="1:23" x14ac:dyDescent="0.3">
      <c r="A69" s="2"/>
      <c r="B69" s="2"/>
      <c r="C69" s="2"/>
      <c r="D69" s="2"/>
      <c r="E69" s="2"/>
      <c r="F69" s="2"/>
      <c r="G69" s="2"/>
      <c r="H69" s="2"/>
      <c r="I69" s="2"/>
      <c r="J69" s="2"/>
      <c r="K69" s="2"/>
      <c r="L69" s="2"/>
      <c r="M69" s="2"/>
      <c r="N69" s="2"/>
      <c r="O69" s="2"/>
      <c r="P69" s="2"/>
      <c r="Q69" s="2"/>
      <c r="R69" s="2"/>
      <c r="S69" s="2"/>
      <c r="T69" s="2"/>
      <c r="U69" s="2"/>
      <c r="V69" s="2"/>
      <c r="W69" s="2"/>
    </row>
    <row r="70" spans="1:23" x14ac:dyDescent="0.3">
      <c r="A70" s="2"/>
      <c r="B70" s="2"/>
      <c r="C70" s="2"/>
      <c r="D70" s="2"/>
      <c r="E70" s="2"/>
      <c r="F70" s="2"/>
      <c r="G70" s="2"/>
      <c r="H70" s="2"/>
      <c r="I70" s="2"/>
      <c r="J70" s="2"/>
      <c r="K70" s="2"/>
      <c r="L70" s="2"/>
      <c r="M70" s="2"/>
      <c r="N70" s="2"/>
      <c r="O70" s="2"/>
      <c r="P70" s="2"/>
      <c r="Q70" s="2"/>
      <c r="R70" s="2"/>
      <c r="S70" s="2"/>
      <c r="T70" s="2"/>
      <c r="U70" s="2"/>
      <c r="V70" s="2"/>
      <c r="W70" s="2"/>
    </row>
    <row r="71" spans="1:23" x14ac:dyDescent="0.3">
      <c r="A71" s="2"/>
      <c r="B71" s="2"/>
      <c r="C71" s="2"/>
      <c r="D71" s="2"/>
      <c r="E71" s="2"/>
      <c r="F71" s="2"/>
      <c r="G71" s="2"/>
      <c r="H71" s="2"/>
      <c r="I71" s="2"/>
      <c r="J71" s="2"/>
      <c r="K71" s="2"/>
      <c r="L71" s="2"/>
      <c r="M71" s="2"/>
      <c r="N71" s="2"/>
      <c r="O71" s="2"/>
      <c r="P71" s="2"/>
      <c r="Q71" s="2"/>
      <c r="R71" s="2"/>
      <c r="S71" s="2"/>
      <c r="T71" s="2"/>
      <c r="U71" s="2"/>
      <c r="V71" s="2"/>
      <c r="W71" s="2"/>
    </row>
    <row r="72" spans="1:23" x14ac:dyDescent="0.3">
      <c r="A72" s="2"/>
      <c r="B72" s="2"/>
      <c r="C72" s="2"/>
      <c r="D72" s="2"/>
      <c r="E72" s="2"/>
      <c r="F72" s="2"/>
      <c r="G72" s="2"/>
      <c r="H72" s="2"/>
      <c r="I72" s="2"/>
      <c r="J72" s="2"/>
      <c r="K72" s="2"/>
      <c r="L72" s="2"/>
      <c r="M72" s="2"/>
      <c r="N72" s="2"/>
      <c r="O72" s="2"/>
      <c r="P72" s="2"/>
      <c r="Q72" s="2"/>
      <c r="R72" s="2"/>
      <c r="S72" s="2"/>
      <c r="T72" s="2"/>
      <c r="U72" s="2"/>
      <c r="V72" s="2"/>
      <c r="W72" s="2"/>
    </row>
    <row r="73" spans="1:23" x14ac:dyDescent="0.3">
      <c r="A73" s="2"/>
      <c r="B73" s="2"/>
      <c r="C73" s="2"/>
      <c r="D73" s="2"/>
      <c r="E73" s="2"/>
      <c r="F73" s="2"/>
      <c r="G73" s="2"/>
      <c r="H73" s="2"/>
      <c r="I73" s="2"/>
      <c r="J73" s="2"/>
      <c r="K73" s="2"/>
      <c r="L73" s="2"/>
      <c r="M73" s="2"/>
      <c r="N73" s="2"/>
      <c r="O73" s="2"/>
      <c r="P73" s="2"/>
      <c r="Q73" s="2"/>
      <c r="R73" s="2"/>
      <c r="S73" s="2"/>
      <c r="T73" s="2"/>
      <c r="U73" s="2"/>
      <c r="V73" s="2"/>
      <c r="W73" s="2"/>
    </row>
    <row r="74" spans="1:23" x14ac:dyDescent="0.3">
      <c r="A74" s="2"/>
      <c r="B74" s="2"/>
      <c r="C74" s="2"/>
      <c r="D74" s="2"/>
      <c r="E74" s="2"/>
      <c r="F74" s="2"/>
      <c r="G74" s="2"/>
      <c r="H74" s="2"/>
      <c r="I74" s="2"/>
      <c r="J74" s="2"/>
      <c r="K74" s="2"/>
      <c r="L74" s="2"/>
      <c r="M74" s="2"/>
      <c r="N74" s="2"/>
      <c r="O74" s="2"/>
      <c r="P74" s="2"/>
      <c r="Q74" s="2"/>
      <c r="R74" s="2"/>
      <c r="S74" s="2"/>
      <c r="T74" s="2"/>
      <c r="U74" s="2"/>
      <c r="V74" s="2"/>
      <c r="W74" s="2"/>
    </row>
    <row r="75" spans="1:23" x14ac:dyDescent="0.3">
      <c r="A75" s="2"/>
      <c r="B75" s="2"/>
      <c r="C75" s="2"/>
      <c r="D75" s="2"/>
      <c r="E75" s="2"/>
      <c r="F75" s="2"/>
      <c r="G75" s="2"/>
      <c r="H75" s="2"/>
      <c r="I75" s="2"/>
      <c r="J75" s="2"/>
      <c r="K75" s="2"/>
      <c r="L75" s="2"/>
      <c r="M75" s="2"/>
      <c r="N75" s="2"/>
      <c r="O75" s="2"/>
      <c r="P75" s="2"/>
      <c r="Q75" s="2"/>
      <c r="R75" s="2"/>
      <c r="S75" s="2"/>
      <c r="T75" s="2"/>
      <c r="U75" s="2"/>
      <c r="V75" s="2"/>
      <c r="W75" s="2"/>
    </row>
    <row r="76" spans="1:23" x14ac:dyDescent="0.3">
      <c r="A76" s="2"/>
      <c r="B76" s="2"/>
      <c r="C76" s="2"/>
      <c r="D76" s="2"/>
      <c r="E76" s="2"/>
      <c r="F76" s="2"/>
      <c r="G76" s="2"/>
      <c r="H76" s="2"/>
      <c r="I76" s="2"/>
      <c r="J76" s="2"/>
      <c r="K76" s="2"/>
      <c r="L76" s="2"/>
      <c r="M76" s="2"/>
      <c r="N76" s="2"/>
      <c r="O76" s="2"/>
      <c r="P76" s="2"/>
      <c r="Q76" s="2"/>
      <c r="R76" s="2"/>
      <c r="S76" s="2"/>
      <c r="T76" s="2"/>
      <c r="U76" s="2"/>
      <c r="V76" s="2"/>
      <c r="W76" s="2"/>
    </row>
    <row r="77" spans="1:23" x14ac:dyDescent="0.3">
      <c r="A77" s="2"/>
      <c r="B77" s="2"/>
      <c r="C77" s="2"/>
      <c r="D77" s="2"/>
      <c r="E77" s="2"/>
      <c r="F77" s="2"/>
      <c r="G77" s="2"/>
      <c r="H77" s="2"/>
      <c r="I77" s="2"/>
      <c r="J77" s="2"/>
      <c r="K77" s="2"/>
      <c r="L77" s="2"/>
      <c r="M77" s="2"/>
      <c r="N77" s="2"/>
      <c r="O77" s="2"/>
      <c r="P77" s="2"/>
      <c r="Q77" s="2"/>
      <c r="R77" s="2"/>
      <c r="S77" s="2"/>
      <c r="T77" s="2"/>
      <c r="U77" s="2"/>
      <c r="V77" s="2"/>
      <c r="W77" s="2"/>
    </row>
    <row r="78" spans="1:23" x14ac:dyDescent="0.3">
      <c r="A78" s="2"/>
      <c r="B78" s="2"/>
      <c r="C78" s="2"/>
      <c r="D78" s="2"/>
      <c r="E78" s="2"/>
      <c r="F78" s="2"/>
      <c r="G78" s="2"/>
      <c r="H78" s="2"/>
      <c r="I78" s="2"/>
      <c r="J78" s="2"/>
      <c r="K78" s="2"/>
      <c r="L78" s="2"/>
      <c r="M78" s="2"/>
      <c r="N78" s="2"/>
      <c r="O78" s="2"/>
      <c r="P78" s="2"/>
      <c r="Q78" s="2"/>
      <c r="R78" s="2"/>
      <c r="S78" s="2"/>
      <c r="T78" s="2"/>
      <c r="U78" s="2"/>
      <c r="V78" s="2"/>
      <c r="W78" s="2"/>
    </row>
    <row r="79" spans="1:23" x14ac:dyDescent="0.3">
      <c r="A79" s="2"/>
      <c r="B79" s="2"/>
      <c r="C79" s="2"/>
      <c r="D79" s="2"/>
      <c r="E79" s="2"/>
      <c r="F79" s="2"/>
      <c r="G79" s="2"/>
      <c r="H79" s="2"/>
      <c r="I79" s="2"/>
      <c r="J79" s="2"/>
      <c r="K79" s="2"/>
      <c r="L79" s="2"/>
      <c r="M79" s="2"/>
      <c r="N79" s="2"/>
      <c r="O79" s="2"/>
      <c r="P79" s="2"/>
      <c r="Q79" s="2"/>
      <c r="R79" s="2"/>
      <c r="S79" s="2"/>
      <c r="T79" s="2"/>
      <c r="U79" s="2"/>
      <c r="V79" s="2"/>
      <c r="W79" s="2"/>
    </row>
    <row r="80" spans="1:23" x14ac:dyDescent="0.3">
      <c r="A80" s="2"/>
      <c r="B80" s="2"/>
      <c r="C80" s="2"/>
      <c r="D80" s="2"/>
      <c r="E80" s="2"/>
      <c r="F80" s="2"/>
      <c r="G80" s="2"/>
      <c r="H80" s="2"/>
      <c r="I80" s="2"/>
      <c r="J80" s="2"/>
      <c r="K80" s="2"/>
      <c r="L80" s="2"/>
      <c r="M80" s="2"/>
      <c r="N80" s="2"/>
      <c r="O80" s="2"/>
      <c r="P80" s="2"/>
      <c r="Q80" s="2"/>
      <c r="R80" s="2"/>
      <c r="S80" s="2"/>
      <c r="T80" s="2"/>
      <c r="U80" s="2"/>
      <c r="V80" s="2"/>
      <c r="W80" s="2"/>
    </row>
    <row r="81" spans="1:23" x14ac:dyDescent="0.3">
      <c r="A81" s="2"/>
      <c r="B81" s="2"/>
      <c r="C81" s="2"/>
      <c r="D81" s="2"/>
      <c r="E81" s="2"/>
      <c r="F81" s="2"/>
      <c r="G81" s="2"/>
      <c r="H81" s="2"/>
      <c r="I81" s="2"/>
      <c r="J81" s="2"/>
      <c r="K81" s="2"/>
      <c r="L81" s="2"/>
      <c r="M81" s="2"/>
      <c r="N81" s="2"/>
      <c r="O81" s="2"/>
      <c r="P81" s="2"/>
      <c r="Q81" s="2"/>
      <c r="R81" s="2"/>
      <c r="S81" s="2"/>
      <c r="T81" s="2"/>
      <c r="U81" s="2"/>
      <c r="V81" s="2"/>
      <c r="W81" s="2"/>
    </row>
    <row r="82" spans="1:23" x14ac:dyDescent="0.3">
      <c r="A82" s="2"/>
      <c r="B82" s="2"/>
      <c r="C82" s="2"/>
      <c r="D82" s="2"/>
      <c r="E82" s="2"/>
      <c r="F82" s="2"/>
      <c r="G82" s="2"/>
      <c r="H82" s="2"/>
      <c r="I82" s="2"/>
      <c r="J82" s="2"/>
      <c r="K82" s="2"/>
      <c r="L82" s="2"/>
      <c r="M82" s="2"/>
      <c r="N82" s="2"/>
      <c r="O82" s="2"/>
      <c r="P82" s="2"/>
      <c r="Q82" s="2"/>
      <c r="R82" s="2"/>
      <c r="S82" s="2"/>
      <c r="T82" s="2"/>
      <c r="U82" s="2"/>
      <c r="V82" s="2"/>
      <c r="W82" s="2"/>
    </row>
    <row r="83" spans="1:23" x14ac:dyDescent="0.3">
      <c r="A83" s="2"/>
      <c r="B83" s="2"/>
      <c r="C83" s="2"/>
      <c r="D83" s="2"/>
      <c r="E83" s="2"/>
      <c r="F83" s="2"/>
      <c r="G83" s="2"/>
      <c r="H83" s="2"/>
      <c r="I83" s="2"/>
      <c r="J83" s="2"/>
      <c r="K83" s="2"/>
      <c r="L83" s="2"/>
      <c r="M83" s="2"/>
      <c r="N83" s="2"/>
      <c r="O83" s="2"/>
      <c r="P83" s="2"/>
      <c r="Q83" s="2"/>
      <c r="R83" s="2"/>
      <c r="S83" s="2"/>
      <c r="T83" s="2"/>
      <c r="U83" s="2"/>
      <c r="V83" s="2"/>
      <c r="W83" s="2"/>
    </row>
    <row r="84" spans="1:23" x14ac:dyDescent="0.3">
      <c r="A84" s="2"/>
      <c r="B84" s="2"/>
      <c r="C84" s="2"/>
      <c r="D84" s="2"/>
      <c r="E84" s="2"/>
      <c r="F84" s="2"/>
      <c r="G84" s="2"/>
      <c r="H84" s="2"/>
      <c r="I84" s="2"/>
      <c r="J84" s="2"/>
      <c r="K84" s="2"/>
      <c r="L84" s="2"/>
      <c r="M84" s="2"/>
      <c r="N84" s="2"/>
      <c r="O84" s="2"/>
      <c r="P84" s="2"/>
      <c r="Q84" s="2"/>
      <c r="R84" s="2"/>
      <c r="S84" s="2"/>
      <c r="T84" s="2"/>
      <c r="U84" s="2"/>
      <c r="V84" s="2"/>
      <c r="W84" s="2"/>
    </row>
    <row r="85" spans="1:23" x14ac:dyDescent="0.3">
      <c r="A85" s="2"/>
      <c r="B85" s="2"/>
      <c r="C85" s="2"/>
      <c r="D85" s="2"/>
      <c r="E85" s="2"/>
      <c r="F85" s="2"/>
      <c r="G85" s="2"/>
      <c r="H85" s="2"/>
      <c r="I85" s="2"/>
      <c r="J85" s="2"/>
      <c r="K85" s="2"/>
      <c r="L85" s="2"/>
      <c r="M85" s="2"/>
      <c r="N85" s="2"/>
      <c r="O85" s="2"/>
      <c r="P85" s="2"/>
      <c r="Q85" s="2"/>
      <c r="R85" s="2"/>
      <c r="S85" s="2"/>
      <c r="T85" s="2"/>
      <c r="U85" s="2"/>
      <c r="V85" s="2"/>
      <c r="W85" s="2"/>
    </row>
    <row r="86" spans="1:23" x14ac:dyDescent="0.3">
      <c r="A86" s="2"/>
      <c r="B86" s="2"/>
      <c r="C86" s="2"/>
      <c r="D86" s="2"/>
      <c r="E86" s="2"/>
      <c r="F86" s="2"/>
      <c r="G86" s="2"/>
      <c r="H86" s="2"/>
      <c r="I86" s="2"/>
      <c r="J86" s="2"/>
      <c r="K86" s="2"/>
      <c r="L86" s="2"/>
      <c r="M86" s="2"/>
      <c r="N86" s="2"/>
      <c r="O86" s="2"/>
      <c r="P86" s="2"/>
      <c r="Q86" s="2"/>
      <c r="R86" s="2"/>
      <c r="S86" s="2"/>
      <c r="T86" s="2"/>
      <c r="U86" s="2"/>
      <c r="V86" s="2"/>
      <c r="W86" s="2"/>
    </row>
    <row r="87" spans="1:23" x14ac:dyDescent="0.3">
      <c r="A87" s="2"/>
      <c r="B87" s="2"/>
      <c r="C87" s="2"/>
      <c r="D87" s="2"/>
      <c r="E87" s="2"/>
      <c r="F87" s="2"/>
      <c r="G87" s="2"/>
      <c r="H87" s="2"/>
      <c r="I87" s="2"/>
      <c r="J87" s="2"/>
      <c r="K87" s="2"/>
      <c r="L87" s="2"/>
      <c r="M87" s="2"/>
      <c r="N87" s="2"/>
      <c r="O87" s="2"/>
      <c r="P87" s="2"/>
      <c r="Q87" s="2"/>
      <c r="R87" s="2"/>
      <c r="S87" s="2"/>
      <c r="T87" s="2"/>
      <c r="U87" s="2"/>
      <c r="V87" s="2"/>
      <c r="W87" s="2"/>
    </row>
    <row r="88" spans="1:23" x14ac:dyDescent="0.3">
      <c r="A88" s="2"/>
      <c r="B88" s="2"/>
      <c r="C88" s="2"/>
      <c r="D88" s="2"/>
      <c r="E88" s="2"/>
      <c r="F88" s="2"/>
      <c r="G88" s="2"/>
      <c r="H88" s="2"/>
      <c r="I88" s="2"/>
      <c r="J88" s="2"/>
      <c r="K88" s="2"/>
      <c r="L88" s="2"/>
      <c r="M88" s="2"/>
      <c r="N88" s="2"/>
      <c r="O88" s="2"/>
      <c r="P88" s="2"/>
      <c r="Q88" s="2"/>
      <c r="R88" s="2"/>
      <c r="S88" s="2"/>
      <c r="T88" s="2"/>
      <c r="U88" s="2"/>
      <c r="V88" s="2"/>
      <c r="W88" s="2"/>
    </row>
    <row r="89" spans="1:23" x14ac:dyDescent="0.3">
      <c r="A89" s="2"/>
      <c r="B89" s="2"/>
      <c r="C89" s="2"/>
      <c r="D89" s="2"/>
      <c r="E89" s="2"/>
      <c r="F89" s="2"/>
      <c r="G89" s="2"/>
      <c r="H89" s="2"/>
      <c r="I89" s="2"/>
      <c r="J89" s="2"/>
      <c r="K89" s="2"/>
      <c r="L89" s="2"/>
      <c r="M89" s="2"/>
      <c r="N89" s="2"/>
      <c r="O89" s="2"/>
      <c r="P89" s="2"/>
      <c r="Q89" s="2"/>
      <c r="R89" s="2"/>
      <c r="S89" s="2"/>
      <c r="T89" s="2"/>
      <c r="U89" s="2"/>
      <c r="V89" s="2"/>
      <c r="W89" s="2"/>
    </row>
    <row r="90" spans="1:23" x14ac:dyDescent="0.3">
      <c r="A90" s="2"/>
      <c r="B90" s="2"/>
      <c r="C90" s="2"/>
      <c r="D90" s="2"/>
      <c r="E90" s="2"/>
      <c r="F90" s="2"/>
      <c r="G90" s="2"/>
      <c r="H90" s="2"/>
      <c r="I90" s="2"/>
      <c r="J90" s="2"/>
      <c r="K90" s="2"/>
      <c r="L90" s="2"/>
      <c r="M90" s="2"/>
      <c r="N90" s="2"/>
      <c r="O90" s="2"/>
      <c r="P90" s="2"/>
      <c r="Q90" s="2"/>
      <c r="R90" s="2"/>
      <c r="S90" s="2"/>
      <c r="T90" s="2"/>
      <c r="U90" s="2"/>
      <c r="V90" s="2"/>
      <c r="W90" s="2"/>
    </row>
    <row r="91" spans="1:23" x14ac:dyDescent="0.3">
      <c r="A91" s="2"/>
      <c r="B91" s="2"/>
      <c r="C91" s="2"/>
      <c r="D91" s="2"/>
      <c r="E91" s="2"/>
      <c r="F91" s="2"/>
      <c r="G91" s="2"/>
      <c r="H91" s="2"/>
      <c r="I91" s="2"/>
      <c r="J91" s="2"/>
      <c r="K91" s="2"/>
      <c r="L91" s="2"/>
      <c r="M91" s="2"/>
      <c r="N91" s="2"/>
      <c r="O91" s="2"/>
      <c r="P91" s="2"/>
      <c r="Q91" s="2"/>
      <c r="R91" s="2"/>
      <c r="S91" s="2"/>
      <c r="T91" s="2"/>
      <c r="U91" s="2"/>
      <c r="V91" s="2"/>
      <c r="W91" s="2"/>
    </row>
    <row r="92" spans="1:23" x14ac:dyDescent="0.3">
      <c r="A92" s="2"/>
      <c r="B92" s="2"/>
      <c r="C92" s="2"/>
      <c r="D92" s="2"/>
      <c r="E92" s="2"/>
      <c r="F92" s="2"/>
      <c r="G92" s="2"/>
      <c r="H92" s="2"/>
      <c r="I92" s="2"/>
      <c r="J92" s="2"/>
      <c r="K92" s="2"/>
      <c r="L92" s="2"/>
      <c r="M92" s="2"/>
      <c r="N92" s="2"/>
      <c r="O92" s="2"/>
      <c r="P92" s="2"/>
      <c r="Q92" s="2"/>
      <c r="R92" s="2"/>
      <c r="S92" s="2"/>
      <c r="T92" s="2"/>
      <c r="U92" s="2"/>
      <c r="V92" s="2"/>
      <c r="W92" s="2"/>
    </row>
    <row r="93" spans="1:23" x14ac:dyDescent="0.3">
      <c r="A93" s="2"/>
      <c r="B93" s="2"/>
      <c r="C93" s="2"/>
      <c r="D93" s="2"/>
      <c r="E93" s="2"/>
      <c r="F93" s="2"/>
      <c r="G93" s="2"/>
      <c r="H93" s="2"/>
      <c r="I93" s="2"/>
      <c r="J93" s="2"/>
      <c r="K93" s="2"/>
      <c r="L93" s="2"/>
      <c r="M93" s="2"/>
      <c r="N93" s="2"/>
      <c r="O93" s="2"/>
      <c r="P93" s="2"/>
      <c r="Q93" s="2"/>
      <c r="R93" s="2"/>
      <c r="S93" s="2"/>
      <c r="T93" s="2"/>
      <c r="U93" s="2"/>
      <c r="V93" s="2"/>
      <c r="W93" s="2"/>
    </row>
    <row r="94" spans="1:23" x14ac:dyDescent="0.3">
      <c r="A94" s="2"/>
      <c r="B94" s="2"/>
      <c r="C94" s="2"/>
      <c r="D94" s="2"/>
      <c r="E94" s="2"/>
      <c r="F94" s="2"/>
      <c r="G94" s="2"/>
      <c r="H94" s="2"/>
      <c r="I94" s="2"/>
      <c r="J94" s="2"/>
      <c r="K94" s="2"/>
      <c r="L94" s="2"/>
      <c r="M94" s="2"/>
      <c r="N94" s="2"/>
      <c r="O94" s="2"/>
      <c r="P94" s="2"/>
      <c r="Q94" s="2"/>
      <c r="R94" s="2"/>
      <c r="S94" s="2"/>
      <c r="T94" s="2"/>
      <c r="U94" s="2"/>
      <c r="V94" s="2"/>
      <c r="W94" s="2"/>
    </row>
    <row r="95" spans="1:23" x14ac:dyDescent="0.3">
      <c r="A95" s="2"/>
      <c r="B95" s="2"/>
      <c r="C95" s="2"/>
      <c r="D95" s="2"/>
      <c r="E95" s="2"/>
      <c r="F95" s="2"/>
      <c r="G95" s="2"/>
      <c r="H95" s="2"/>
      <c r="I95" s="2"/>
      <c r="J95" s="2"/>
      <c r="K95" s="2"/>
      <c r="L95" s="2"/>
      <c r="M95" s="2"/>
      <c r="N95" s="2"/>
      <c r="O95" s="2"/>
      <c r="P95" s="2"/>
      <c r="Q95" s="2"/>
      <c r="R95" s="2"/>
      <c r="S95" s="2"/>
      <c r="T95" s="2"/>
      <c r="U95" s="2"/>
      <c r="V95" s="2"/>
      <c r="W95" s="2"/>
    </row>
    <row r="96" spans="1:23" x14ac:dyDescent="0.3">
      <c r="A96" s="2"/>
      <c r="B96" s="2"/>
      <c r="C96" s="2"/>
      <c r="D96" s="2"/>
      <c r="E96" s="2"/>
      <c r="F96" s="2"/>
      <c r="G96" s="2"/>
      <c r="H96" s="2"/>
      <c r="I96" s="2"/>
      <c r="J96" s="2"/>
      <c r="K96" s="2"/>
      <c r="L96" s="2"/>
      <c r="M96" s="2"/>
      <c r="N96" s="2"/>
      <c r="O96" s="2"/>
      <c r="P96" s="2"/>
      <c r="Q96" s="2"/>
      <c r="R96" s="2"/>
      <c r="S96" s="2"/>
      <c r="T96" s="2"/>
      <c r="U96" s="2"/>
      <c r="V96" s="2"/>
      <c r="W96" s="2"/>
    </row>
    <row r="97" spans="1:23" x14ac:dyDescent="0.3">
      <c r="A97" s="2"/>
      <c r="B97" s="2"/>
      <c r="C97" s="2"/>
      <c r="D97" s="2"/>
      <c r="E97" s="2"/>
      <c r="F97" s="2"/>
      <c r="G97" s="2"/>
      <c r="H97" s="2"/>
      <c r="I97" s="2"/>
      <c r="J97" s="2"/>
      <c r="K97" s="2"/>
      <c r="L97" s="2"/>
      <c r="M97" s="2"/>
      <c r="N97" s="2"/>
      <c r="O97" s="2"/>
      <c r="P97" s="2"/>
      <c r="Q97" s="2"/>
      <c r="R97" s="2"/>
      <c r="S97" s="2"/>
      <c r="T97" s="2"/>
      <c r="U97" s="2"/>
      <c r="V97" s="2"/>
      <c r="W97" s="2"/>
    </row>
    <row r="98" spans="1:23" x14ac:dyDescent="0.3">
      <c r="A98" s="2"/>
      <c r="B98" s="2"/>
      <c r="C98" s="2"/>
      <c r="D98" s="2"/>
      <c r="E98" s="2"/>
      <c r="F98" s="2"/>
      <c r="G98" s="2"/>
      <c r="H98" s="2"/>
      <c r="I98" s="2"/>
      <c r="J98" s="2"/>
      <c r="K98" s="2"/>
      <c r="L98" s="2"/>
      <c r="M98" s="2"/>
      <c r="N98" s="2"/>
      <c r="O98" s="2"/>
      <c r="P98" s="2"/>
      <c r="Q98" s="2"/>
      <c r="R98" s="2"/>
      <c r="S98" s="2"/>
      <c r="T98" s="2"/>
      <c r="U98" s="2"/>
      <c r="V98" s="2"/>
      <c r="W98" s="2"/>
    </row>
    <row r="99" spans="1:23" x14ac:dyDescent="0.3">
      <c r="A99" s="2"/>
      <c r="B99" s="2"/>
      <c r="C99" s="2"/>
      <c r="D99" s="2"/>
      <c r="E99" s="2"/>
      <c r="F99" s="2"/>
      <c r="G99" s="2"/>
      <c r="H99" s="2"/>
      <c r="I99" s="2"/>
      <c r="J99" s="2"/>
      <c r="K99" s="2"/>
      <c r="L99" s="2"/>
      <c r="M99" s="2"/>
      <c r="N99" s="2"/>
      <c r="O99" s="2"/>
      <c r="P99" s="2"/>
      <c r="Q99" s="2"/>
      <c r="R99" s="2"/>
      <c r="S99" s="2"/>
      <c r="T99" s="2"/>
      <c r="U99" s="2"/>
      <c r="V99" s="2"/>
      <c r="W99" s="2"/>
    </row>
    <row r="100" spans="1:23" x14ac:dyDescent="0.3">
      <c r="A100" s="2"/>
      <c r="B100" s="2"/>
      <c r="C100" s="2"/>
      <c r="D100" s="2"/>
      <c r="E100" s="2"/>
      <c r="F100" s="2"/>
      <c r="G100" s="2"/>
      <c r="H100" s="2"/>
      <c r="I100" s="2"/>
      <c r="J100" s="2"/>
      <c r="K100" s="2"/>
      <c r="L100" s="2"/>
      <c r="M100" s="2"/>
      <c r="N100" s="2"/>
      <c r="O100" s="2"/>
      <c r="P100" s="2"/>
      <c r="Q100" s="2"/>
      <c r="R100" s="2"/>
      <c r="S100" s="2"/>
      <c r="T100" s="2"/>
      <c r="U100" s="2"/>
      <c r="V100" s="2"/>
      <c r="W100" s="2"/>
    </row>
    <row r="101" spans="1:23" x14ac:dyDescent="0.3">
      <c r="A101" s="2"/>
      <c r="B101" s="2"/>
      <c r="C101" s="2"/>
      <c r="D101" s="2"/>
      <c r="E101" s="2"/>
      <c r="F101" s="2"/>
      <c r="G101" s="2"/>
      <c r="H101" s="2"/>
      <c r="I101" s="2"/>
      <c r="J101" s="2"/>
      <c r="K101" s="2"/>
      <c r="L101" s="2"/>
      <c r="M101" s="2"/>
      <c r="N101" s="2"/>
      <c r="O101" s="2"/>
      <c r="P101" s="2"/>
      <c r="Q101" s="2"/>
      <c r="R101" s="2"/>
      <c r="S101" s="2"/>
      <c r="T101" s="2"/>
      <c r="U101" s="2"/>
      <c r="V101" s="2"/>
      <c r="W101" s="2"/>
    </row>
    <row r="102" spans="1:23" x14ac:dyDescent="0.3">
      <c r="A102" s="2"/>
      <c r="B102" s="2"/>
      <c r="C102" s="2"/>
      <c r="D102" s="2"/>
      <c r="E102" s="2"/>
      <c r="F102" s="2"/>
      <c r="G102" s="2"/>
      <c r="H102" s="2"/>
      <c r="I102" s="2"/>
      <c r="J102" s="2"/>
      <c r="K102" s="2"/>
      <c r="L102" s="2"/>
      <c r="M102" s="2"/>
      <c r="N102" s="2"/>
      <c r="O102" s="2"/>
      <c r="P102" s="2"/>
      <c r="Q102" s="2"/>
      <c r="R102" s="2"/>
      <c r="S102" s="2"/>
      <c r="T102" s="2"/>
      <c r="U102" s="2"/>
      <c r="V102" s="2"/>
      <c r="W102" s="2"/>
    </row>
    <row r="103" spans="1:23" x14ac:dyDescent="0.3">
      <c r="A103" s="2"/>
      <c r="B103" s="2"/>
      <c r="C103" s="2"/>
      <c r="D103" s="2"/>
      <c r="E103" s="2"/>
      <c r="F103" s="2"/>
      <c r="G103" s="2"/>
      <c r="H103" s="2"/>
      <c r="I103" s="2"/>
      <c r="J103" s="2"/>
      <c r="K103" s="2"/>
      <c r="L103" s="2"/>
      <c r="M103" s="2"/>
      <c r="N103" s="2"/>
      <c r="O103" s="2"/>
      <c r="P103" s="2"/>
      <c r="Q103" s="2"/>
      <c r="R103" s="2"/>
      <c r="S103" s="2"/>
      <c r="T103" s="2"/>
      <c r="U103" s="2"/>
      <c r="V103" s="2"/>
      <c r="W103" s="2"/>
    </row>
    <row r="104" spans="1:23" x14ac:dyDescent="0.3">
      <c r="A104" s="2"/>
      <c r="B104" s="2"/>
      <c r="C104" s="2"/>
      <c r="D104" s="2"/>
      <c r="E104" s="2"/>
      <c r="F104" s="2"/>
      <c r="G104" s="2"/>
      <c r="H104" s="2"/>
      <c r="I104" s="2"/>
      <c r="J104" s="2"/>
      <c r="K104" s="2"/>
      <c r="L104" s="2"/>
      <c r="M104" s="2"/>
      <c r="N104" s="2"/>
      <c r="O104" s="2"/>
      <c r="P104" s="2"/>
      <c r="Q104" s="2"/>
      <c r="R104" s="2"/>
      <c r="S104" s="2"/>
      <c r="T104" s="2"/>
      <c r="U104" s="2"/>
      <c r="V104" s="2"/>
      <c r="W104" s="2"/>
    </row>
    <row r="105" spans="1:23" x14ac:dyDescent="0.3">
      <c r="A105" s="2"/>
      <c r="B105" s="2"/>
      <c r="C105" s="2"/>
      <c r="D105" s="2"/>
      <c r="E105" s="2"/>
      <c r="F105" s="2"/>
      <c r="G105" s="2"/>
      <c r="H105" s="2"/>
      <c r="I105" s="2"/>
      <c r="J105" s="2"/>
      <c r="K105" s="2"/>
      <c r="L105" s="2"/>
      <c r="M105" s="2"/>
      <c r="N105" s="2"/>
      <c r="O105" s="2"/>
      <c r="P105" s="2"/>
      <c r="Q105" s="2"/>
      <c r="R105" s="2"/>
      <c r="S105" s="2"/>
      <c r="T105" s="2"/>
      <c r="U105" s="2"/>
      <c r="V105" s="2"/>
      <c r="W105" s="2"/>
    </row>
    <row r="106" spans="1:23" x14ac:dyDescent="0.3">
      <c r="A106" s="2"/>
      <c r="B106" s="2"/>
      <c r="C106" s="2"/>
      <c r="D106" s="2"/>
      <c r="E106" s="2"/>
      <c r="F106" s="2"/>
      <c r="G106" s="2"/>
      <c r="H106" s="2"/>
      <c r="I106" s="2"/>
      <c r="J106" s="2"/>
      <c r="K106" s="2"/>
      <c r="L106" s="2"/>
      <c r="M106" s="2"/>
      <c r="N106" s="2"/>
      <c r="O106" s="2"/>
      <c r="P106" s="2"/>
      <c r="Q106" s="2"/>
      <c r="R106" s="2"/>
      <c r="S106" s="2"/>
      <c r="T106" s="2"/>
      <c r="U106" s="2"/>
      <c r="V106" s="2"/>
      <c r="W106" s="2"/>
    </row>
    <row r="107" spans="1:23" x14ac:dyDescent="0.3">
      <c r="A107" s="2"/>
      <c r="B107" s="2"/>
      <c r="C107" s="2"/>
      <c r="D107" s="2"/>
      <c r="E107" s="2"/>
      <c r="F107" s="2"/>
      <c r="G107" s="2"/>
      <c r="H107" s="2"/>
      <c r="I107" s="2"/>
      <c r="J107" s="2"/>
      <c r="K107" s="2"/>
      <c r="L107" s="2"/>
      <c r="M107" s="2"/>
      <c r="N107" s="2"/>
      <c r="O107" s="2"/>
      <c r="P107" s="2"/>
      <c r="Q107" s="2"/>
      <c r="R107" s="2"/>
      <c r="S107" s="2"/>
      <c r="T107" s="2"/>
      <c r="U107" s="2"/>
      <c r="V107" s="2"/>
      <c r="W107" s="2"/>
    </row>
    <row r="108" spans="1:23" x14ac:dyDescent="0.3">
      <c r="A108" s="2"/>
      <c r="B108" s="2"/>
      <c r="C108" s="2"/>
      <c r="D108" s="2"/>
      <c r="E108" s="2"/>
      <c r="F108" s="2"/>
      <c r="G108" s="2"/>
      <c r="H108" s="2"/>
      <c r="I108" s="2"/>
      <c r="J108" s="2"/>
      <c r="K108" s="2"/>
      <c r="L108" s="2"/>
      <c r="M108" s="2"/>
      <c r="N108" s="2"/>
      <c r="O108" s="2"/>
      <c r="P108" s="2"/>
      <c r="Q108" s="2"/>
      <c r="R108" s="2"/>
      <c r="S108" s="2"/>
      <c r="T108" s="2"/>
      <c r="U108" s="2"/>
      <c r="V108" s="2"/>
      <c r="W108" s="2"/>
    </row>
    <row r="109" spans="1:23" x14ac:dyDescent="0.3">
      <c r="A109" s="2"/>
      <c r="B109" s="2"/>
      <c r="C109" s="2"/>
      <c r="D109" s="2"/>
      <c r="E109" s="2"/>
      <c r="F109" s="2"/>
      <c r="G109" s="2"/>
      <c r="H109" s="2"/>
      <c r="I109" s="2"/>
      <c r="J109" s="2"/>
      <c r="K109" s="2"/>
      <c r="L109" s="2"/>
      <c r="M109" s="2"/>
      <c r="N109" s="2"/>
      <c r="O109" s="2"/>
      <c r="P109" s="2"/>
      <c r="Q109" s="2"/>
      <c r="R109" s="2"/>
      <c r="S109" s="2"/>
      <c r="T109" s="2"/>
      <c r="U109" s="2"/>
      <c r="V109" s="2"/>
      <c r="W109" s="2"/>
    </row>
    <row r="110" spans="1:23" x14ac:dyDescent="0.3">
      <c r="A110" s="2"/>
      <c r="B110" s="2"/>
      <c r="C110" s="2"/>
      <c r="D110" s="2"/>
      <c r="E110" s="2"/>
      <c r="F110" s="2"/>
      <c r="G110" s="2"/>
      <c r="H110" s="2"/>
      <c r="I110" s="2"/>
      <c r="J110" s="2"/>
      <c r="K110" s="2"/>
      <c r="L110" s="2"/>
      <c r="M110" s="2"/>
      <c r="N110" s="2"/>
      <c r="O110" s="2"/>
      <c r="P110" s="2"/>
      <c r="Q110" s="2"/>
      <c r="R110" s="2"/>
      <c r="S110" s="2"/>
      <c r="T110" s="2"/>
      <c r="U110" s="2"/>
      <c r="V110" s="2"/>
      <c r="W110" s="2"/>
    </row>
    <row r="111" spans="1:23" x14ac:dyDescent="0.3">
      <c r="A111" s="2"/>
      <c r="B111" s="2"/>
      <c r="C111" s="2"/>
      <c r="D111" s="2"/>
      <c r="E111" s="2"/>
      <c r="F111" s="2"/>
      <c r="G111" s="2"/>
      <c r="H111" s="2"/>
      <c r="I111" s="2"/>
      <c r="J111" s="2"/>
      <c r="K111" s="2"/>
      <c r="L111" s="2"/>
      <c r="M111" s="2"/>
      <c r="N111" s="2"/>
      <c r="O111" s="2"/>
      <c r="P111" s="2"/>
      <c r="Q111" s="2"/>
      <c r="R111" s="2"/>
      <c r="S111" s="2"/>
      <c r="T111" s="2"/>
      <c r="U111" s="2"/>
      <c r="V111" s="2"/>
      <c r="W111" s="2"/>
    </row>
    <row r="112" spans="1:23" x14ac:dyDescent="0.3">
      <c r="A112" s="2"/>
      <c r="B112" s="2"/>
      <c r="C112" s="2"/>
      <c r="D112" s="2"/>
      <c r="E112" s="2"/>
      <c r="F112" s="2"/>
      <c r="G112" s="2"/>
      <c r="H112" s="2"/>
      <c r="I112" s="2"/>
      <c r="J112" s="2"/>
      <c r="K112" s="2"/>
      <c r="L112" s="2"/>
      <c r="M112" s="2"/>
      <c r="N112" s="2"/>
      <c r="O112" s="2"/>
      <c r="P112" s="2"/>
      <c r="Q112" s="2"/>
      <c r="R112" s="2"/>
      <c r="S112" s="2"/>
      <c r="T112" s="2"/>
      <c r="U112" s="2"/>
      <c r="V112" s="2"/>
      <c r="W112" s="2"/>
    </row>
    <row r="113" spans="1:23" x14ac:dyDescent="0.3">
      <c r="A113" s="2"/>
      <c r="B113" s="2"/>
      <c r="C113" s="2"/>
      <c r="D113" s="2"/>
      <c r="E113" s="2"/>
      <c r="F113" s="2"/>
      <c r="G113" s="2"/>
      <c r="H113" s="2"/>
      <c r="I113" s="2"/>
      <c r="J113" s="2"/>
      <c r="K113" s="2"/>
      <c r="L113" s="2"/>
      <c r="M113" s="2"/>
      <c r="N113" s="2"/>
      <c r="O113" s="2"/>
      <c r="P113" s="2"/>
      <c r="Q113" s="2"/>
      <c r="R113" s="2"/>
      <c r="S113" s="2"/>
      <c r="T113" s="2"/>
      <c r="U113" s="2"/>
      <c r="V113" s="2"/>
      <c r="W113" s="2"/>
    </row>
    <row r="114" spans="1:23" x14ac:dyDescent="0.3">
      <c r="A114" s="2"/>
      <c r="B114" s="2"/>
      <c r="C114" s="2"/>
      <c r="D114" s="2"/>
      <c r="E114" s="2"/>
      <c r="F114" s="2"/>
      <c r="G114" s="2"/>
      <c r="H114" s="2"/>
      <c r="I114" s="2"/>
      <c r="J114" s="2"/>
      <c r="K114" s="2"/>
      <c r="L114" s="2"/>
      <c r="M114" s="2"/>
      <c r="N114" s="2"/>
      <c r="O114" s="2"/>
      <c r="P114" s="2"/>
      <c r="Q114" s="2"/>
      <c r="R114" s="2"/>
      <c r="S114" s="2"/>
      <c r="T114" s="2"/>
      <c r="U114" s="2"/>
      <c r="V114" s="2"/>
      <c r="W114" s="2"/>
    </row>
    <row r="115" spans="1:23" x14ac:dyDescent="0.3">
      <c r="A115" s="2"/>
      <c r="B115" s="2"/>
      <c r="C115" s="2"/>
      <c r="D115" s="2"/>
      <c r="E115" s="2"/>
      <c r="F115" s="2"/>
      <c r="G115" s="2"/>
      <c r="H115" s="2"/>
      <c r="I115" s="2"/>
      <c r="J115" s="2"/>
      <c r="K115" s="2"/>
      <c r="L115" s="2"/>
      <c r="M115" s="2"/>
      <c r="N115" s="2"/>
      <c r="O115" s="2"/>
      <c r="P115" s="2"/>
      <c r="Q115" s="2"/>
      <c r="R115" s="2"/>
      <c r="S115" s="2"/>
      <c r="T115" s="2"/>
      <c r="U115" s="2"/>
      <c r="V115" s="2"/>
      <c r="W115" s="2"/>
    </row>
    <row r="116" spans="1:23" x14ac:dyDescent="0.3">
      <c r="A116" s="2"/>
      <c r="B116" s="2"/>
      <c r="C116" s="2"/>
      <c r="D116" s="2"/>
      <c r="E116" s="2"/>
      <c r="F116" s="2"/>
      <c r="G116" s="2"/>
      <c r="H116" s="2"/>
      <c r="I116" s="2"/>
      <c r="J116" s="2"/>
      <c r="K116" s="2"/>
      <c r="L116" s="2"/>
      <c r="M116" s="2"/>
      <c r="N116" s="2"/>
      <c r="O116" s="2"/>
      <c r="P116" s="2"/>
      <c r="Q116" s="2"/>
      <c r="R116" s="2"/>
      <c r="S116" s="2"/>
      <c r="T116" s="2"/>
      <c r="U116" s="2"/>
      <c r="V116" s="2"/>
      <c r="W116" s="2"/>
    </row>
    <row r="117" spans="1:23" x14ac:dyDescent="0.3">
      <c r="A117" s="2"/>
      <c r="B117" s="2"/>
      <c r="C117" s="2"/>
      <c r="D117" s="2"/>
      <c r="E117" s="2"/>
      <c r="F117" s="2"/>
      <c r="G117" s="2"/>
      <c r="H117" s="2"/>
      <c r="I117" s="2"/>
      <c r="J117" s="2"/>
      <c r="K117" s="2"/>
      <c r="L117" s="2"/>
      <c r="M117" s="2"/>
      <c r="N117" s="2"/>
      <c r="O117" s="2"/>
      <c r="P117" s="2"/>
      <c r="Q117" s="2"/>
      <c r="R117" s="2"/>
      <c r="S117" s="2"/>
      <c r="T117" s="2"/>
      <c r="U117" s="2"/>
      <c r="V117" s="2"/>
      <c r="W117" s="2"/>
    </row>
    <row r="118" spans="1:23" x14ac:dyDescent="0.3">
      <c r="A118" s="2"/>
      <c r="B118" s="2"/>
      <c r="C118" s="2"/>
      <c r="D118" s="2"/>
      <c r="E118" s="2"/>
      <c r="F118" s="2"/>
      <c r="G118" s="2"/>
      <c r="H118" s="2"/>
      <c r="I118" s="2"/>
      <c r="J118" s="2"/>
      <c r="K118" s="2"/>
      <c r="L118" s="2"/>
      <c r="M118" s="2"/>
      <c r="N118" s="2"/>
      <c r="O118" s="2"/>
      <c r="P118" s="2"/>
      <c r="Q118" s="2"/>
      <c r="R118" s="2"/>
      <c r="S118" s="2"/>
      <c r="T118" s="2"/>
      <c r="U118" s="2"/>
      <c r="V118" s="2"/>
      <c r="W118" s="2"/>
    </row>
    <row r="119" spans="1:23" x14ac:dyDescent="0.3">
      <c r="A119" s="2"/>
      <c r="B119" s="2"/>
      <c r="C119" s="2"/>
      <c r="D119" s="2"/>
      <c r="E119" s="2"/>
      <c r="F119" s="2"/>
      <c r="G119" s="2"/>
      <c r="H119" s="2"/>
      <c r="I119" s="2"/>
      <c r="J119" s="2"/>
      <c r="K119" s="2"/>
      <c r="L119" s="2"/>
      <c r="M119" s="2"/>
      <c r="N119" s="2"/>
      <c r="O119" s="2"/>
      <c r="P119" s="2"/>
      <c r="Q119" s="2"/>
      <c r="R119" s="2"/>
      <c r="S119" s="2"/>
      <c r="T119" s="2"/>
      <c r="U119" s="2"/>
      <c r="V119" s="2"/>
      <c r="W119" s="2"/>
    </row>
    <row r="120" spans="1:23" x14ac:dyDescent="0.3">
      <c r="A120" s="2"/>
      <c r="B120" s="2"/>
      <c r="C120" s="2"/>
      <c r="D120" s="2"/>
      <c r="E120" s="2"/>
      <c r="F120" s="2"/>
      <c r="G120" s="2"/>
      <c r="H120" s="2"/>
      <c r="I120" s="2"/>
      <c r="J120" s="2"/>
      <c r="K120" s="2"/>
      <c r="L120" s="2"/>
      <c r="M120" s="2"/>
      <c r="N120" s="2"/>
      <c r="O120" s="2"/>
      <c r="P120" s="2"/>
      <c r="Q120" s="2"/>
      <c r="R120" s="2"/>
      <c r="S120" s="2"/>
      <c r="T120" s="2"/>
      <c r="U120" s="2"/>
      <c r="V120" s="2"/>
      <c r="W120" s="2"/>
    </row>
    <row r="121" spans="1:23" x14ac:dyDescent="0.3">
      <c r="A121" s="2"/>
      <c r="B121" s="2"/>
      <c r="C121" s="2"/>
      <c r="D121" s="2"/>
      <c r="E121" s="2"/>
      <c r="F121" s="2"/>
      <c r="G121" s="2"/>
      <c r="H121" s="2"/>
      <c r="I121" s="2"/>
      <c r="J121" s="2"/>
      <c r="K121" s="2"/>
      <c r="L121" s="2"/>
      <c r="M121" s="2"/>
      <c r="N121" s="2"/>
      <c r="O121" s="2"/>
      <c r="P121" s="2"/>
      <c r="Q121" s="2"/>
      <c r="R121" s="2"/>
      <c r="S121" s="2"/>
      <c r="T121" s="2"/>
      <c r="U121" s="2"/>
      <c r="V121" s="2"/>
      <c r="W121" s="2"/>
    </row>
    <row r="122" spans="1:23" x14ac:dyDescent="0.3">
      <c r="A122" s="2"/>
      <c r="B122" s="2"/>
      <c r="C122" s="2"/>
      <c r="D122" s="2"/>
      <c r="E122" s="2"/>
      <c r="F122" s="2"/>
      <c r="G122" s="2"/>
      <c r="H122" s="2"/>
      <c r="I122" s="2"/>
      <c r="J122" s="2"/>
      <c r="K122" s="2"/>
      <c r="L122" s="2"/>
      <c r="M122" s="2"/>
      <c r="N122" s="2"/>
      <c r="O122" s="2"/>
      <c r="P122" s="2"/>
      <c r="Q122" s="2"/>
      <c r="R122" s="2"/>
      <c r="S122" s="2"/>
      <c r="T122" s="2"/>
      <c r="U122" s="2"/>
      <c r="V122" s="2"/>
      <c r="W122" s="2"/>
    </row>
    <row r="123" spans="1:23" x14ac:dyDescent="0.3">
      <c r="A123" s="2"/>
      <c r="B123" s="2"/>
      <c r="C123" s="2"/>
      <c r="D123" s="2"/>
      <c r="E123" s="2"/>
      <c r="F123" s="2"/>
      <c r="G123" s="2"/>
      <c r="H123" s="2"/>
      <c r="I123" s="2"/>
      <c r="J123" s="2"/>
      <c r="K123" s="2"/>
      <c r="L123" s="2"/>
      <c r="M123" s="2"/>
      <c r="N123" s="2"/>
      <c r="O123" s="2"/>
      <c r="P123" s="2"/>
      <c r="Q123" s="2"/>
      <c r="R123" s="2"/>
      <c r="S123" s="2"/>
      <c r="T123" s="2"/>
      <c r="U123" s="2"/>
      <c r="V123" s="2"/>
      <c r="W123" s="2"/>
    </row>
    <row r="124" spans="1:23" x14ac:dyDescent="0.3">
      <c r="A124" s="2"/>
      <c r="B124" s="2"/>
      <c r="C124" s="2"/>
      <c r="D124" s="2"/>
      <c r="E124" s="2"/>
      <c r="F124" s="2"/>
      <c r="G124" s="2"/>
      <c r="H124" s="2"/>
      <c r="I124" s="2"/>
      <c r="J124" s="2"/>
      <c r="K124" s="2"/>
      <c r="L124" s="2"/>
      <c r="M124" s="2"/>
      <c r="N124" s="2"/>
      <c r="O124" s="2"/>
      <c r="P124" s="2"/>
      <c r="Q124" s="2"/>
      <c r="R124" s="2"/>
      <c r="S124" s="2"/>
      <c r="T124" s="2"/>
      <c r="U124" s="2"/>
      <c r="V124" s="2"/>
      <c r="W124" s="2"/>
    </row>
    <row r="125" spans="1:23" x14ac:dyDescent="0.3">
      <c r="A125" s="2"/>
      <c r="B125" s="2"/>
      <c r="C125" s="2"/>
      <c r="D125" s="2"/>
      <c r="E125" s="2"/>
      <c r="F125" s="2"/>
      <c r="G125" s="2"/>
      <c r="H125" s="2"/>
      <c r="I125" s="2"/>
      <c r="J125" s="2"/>
      <c r="K125" s="2"/>
      <c r="L125" s="2"/>
      <c r="M125" s="2"/>
      <c r="N125" s="2"/>
      <c r="O125" s="2"/>
      <c r="P125" s="2"/>
      <c r="Q125" s="2"/>
      <c r="R125" s="2"/>
      <c r="S125" s="2"/>
      <c r="T125" s="2"/>
      <c r="U125" s="2"/>
      <c r="V125" s="2"/>
      <c r="W125" s="2"/>
    </row>
    <row r="126" spans="1:23" x14ac:dyDescent="0.3">
      <c r="A126" s="2"/>
      <c r="B126" s="2"/>
      <c r="C126" s="2"/>
      <c r="D126" s="2"/>
      <c r="E126" s="2"/>
      <c r="F126" s="2"/>
      <c r="G126" s="2"/>
      <c r="H126" s="2"/>
      <c r="I126" s="2"/>
      <c r="J126" s="2"/>
      <c r="K126" s="2"/>
      <c r="L126" s="2"/>
      <c r="M126" s="2"/>
      <c r="N126" s="2"/>
      <c r="O126" s="2"/>
      <c r="P126" s="2"/>
      <c r="Q126" s="2"/>
      <c r="R126" s="2"/>
      <c r="S126" s="2"/>
      <c r="T126" s="2"/>
      <c r="U126" s="2"/>
      <c r="V126" s="2"/>
      <c r="W126" s="2"/>
    </row>
    <row r="127" spans="1:23" x14ac:dyDescent="0.3">
      <c r="A127" s="2"/>
      <c r="B127" s="2"/>
      <c r="C127" s="2"/>
      <c r="D127" s="2"/>
      <c r="E127" s="2"/>
      <c r="F127" s="2"/>
      <c r="G127" s="2"/>
      <c r="H127" s="2"/>
      <c r="I127" s="2"/>
      <c r="J127" s="2"/>
      <c r="K127" s="2"/>
      <c r="L127" s="2"/>
      <c r="M127" s="2"/>
      <c r="N127" s="2"/>
      <c r="O127" s="2"/>
      <c r="P127" s="2"/>
      <c r="Q127" s="2"/>
      <c r="R127" s="2"/>
      <c r="S127" s="2"/>
      <c r="T127" s="2"/>
      <c r="U127" s="2"/>
      <c r="V127" s="2"/>
      <c r="W127" s="2"/>
    </row>
    <row r="128" spans="1:23" x14ac:dyDescent="0.3">
      <c r="A128" s="2"/>
      <c r="B128" s="2"/>
      <c r="C128" s="2"/>
      <c r="D128" s="2"/>
      <c r="E128" s="2"/>
      <c r="F128" s="2"/>
      <c r="G128" s="2"/>
      <c r="H128" s="2"/>
      <c r="I128" s="2"/>
      <c r="J128" s="2"/>
      <c r="K128" s="2"/>
      <c r="L128" s="2"/>
      <c r="M128" s="2"/>
      <c r="N128" s="2"/>
      <c r="O128" s="2"/>
      <c r="P128" s="2"/>
      <c r="Q128" s="2"/>
      <c r="R128" s="2"/>
      <c r="S128" s="2"/>
      <c r="T128" s="2"/>
      <c r="U128" s="2"/>
      <c r="V128" s="2"/>
      <c r="W128" s="2"/>
    </row>
    <row r="129" spans="1:23" x14ac:dyDescent="0.3">
      <c r="A129" s="2"/>
      <c r="B129" s="2"/>
      <c r="C129" s="2"/>
      <c r="D129" s="2"/>
      <c r="E129" s="2"/>
      <c r="F129" s="2"/>
      <c r="G129" s="2"/>
      <c r="H129" s="2"/>
      <c r="I129" s="2"/>
      <c r="J129" s="2"/>
      <c r="K129" s="2"/>
      <c r="L129" s="2"/>
      <c r="M129" s="2"/>
      <c r="N129" s="2"/>
      <c r="O129" s="2"/>
      <c r="P129" s="2"/>
      <c r="Q129" s="2"/>
      <c r="R129" s="2"/>
      <c r="S129" s="2"/>
      <c r="T129" s="2"/>
      <c r="U129" s="2"/>
      <c r="V129" s="2"/>
      <c r="W129" s="2"/>
    </row>
    <row r="130" spans="1:23" x14ac:dyDescent="0.3">
      <c r="A130" s="2"/>
      <c r="B130" s="2"/>
      <c r="C130" s="2"/>
      <c r="D130" s="2"/>
      <c r="E130" s="2"/>
      <c r="F130" s="2"/>
      <c r="G130" s="2"/>
      <c r="H130" s="2"/>
      <c r="I130" s="2"/>
      <c r="J130" s="2"/>
      <c r="K130" s="2"/>
      <c r="L130" s="2"/>
      <c r="M130" s="2"/>
      <c r="N130" s="2"/>
      <c r="O130" s="2"/>
      <c r="P130" s="2"/>
      <c r="Q130" s="2"/>
      <c r="R130" s="2"/>
      <c r="S130" s="2"/>
      <c r="T130" s="2"/>
      <c r="U130" s="2"/>
      <c r="V130" s="2"/>
      <c r="W130" s="2"/>
    </row>
    <row r="131" spans="1:23" x14ac:dyDescent="0.3">
      <c r="A131" s="2"/>
      <c r="B131" s="2"/>
      <c r="C131" s="2"/>
      <c r="D131" s="2"/>
      <c r="E131" s="2"/>
      <c r="F131" s="2"/>
      <c r="G131" s="2"/>
      <c r="H131" s="2"/>
      <c r="I131" s="2"/>
      <c r="J131" s="2"/>
      <c r="K131" s="2"/>
      <c r="L131" s="2"/>
      <c r="M131" s="2"/>
      <c r="N131" s="2"/>
      <c r="O131" s="2"/>
      <c r="P131" s="2"/>
      <c r="Q131" s="2"/>
      <c r="R131" s="2"/>
      <c r="S131" s="2"/>
      <c r="T131" s="2"/>
      <c r="U131" s="2"/>
      <c r="V131" s="2"/>
      <c r="W131" s="2"/>
    </row>
    <row r="132" spans="1:23" x14ac:dyDescent="0.3">
      <c r="A132" s="2"/>
      <c r="B132" s="2"/>
      <c r="C132" s="2"/>
      <c r="D132" s="2"/>
      <c r="E132" s="2"/>
      <c r="F132" s="2"/>
      <c r="G132" s="2"/>
      <c r="H132" s="2"/>
      <c r="I132" s="2"/>
      <c r="J132" s="2"/>
      <c r="K132" s="2"/>
      <c r="L132" s="2"/>
      <c r="M132" s="2"/>
      <c r="N132" s="2"/>
      <c r="O132" s="2"/>
      <c r="P132" s="2"/>
      <c r="Q132" s="2"/>
      <c r="R132" s="2"/>
      <c r="S132" s="2"/>
      <c r="T132" s="2"/>
      <c r="U132" s="2"/>
      <c r="V132" s="2"/>
      <c r="W132" s="2"/>
    </row>
    <row r="133" spans="1:23" x14ac:dyDescent="0.3">
      <c r="A133" s="2"/>
      <c r="B133" s="2"/>
      <c r="C133" s="2"/>
      <c r="D133" s="2"/>
      <c r="E133" s="2"/>
      <c r="F133" s="2"/>
      <c r="G133" s="2"/>
      <c r="H133" s="2"/>
      <c r="I133" s="2"/>
      <c r="J133" s="2"/>
      <c r="K133" s="2"/>
      <c r="L133" s="2"/>
      <c r="M133" s="2"/>
      <c r="N133" s="2"/>
      <c r="O133" s="2"/>
      <c r="P133" s="2"/>
      <c r="Q133" s="2"/>
      <c r="R133" s="2"/>
      <c r="S133" s="2"/>
      <c r="T133" s="2"/>
      <c r="U133" s="2"/>
      <c r="V133" s="2"/>
      <c r="W133" s="2"/>
    </row>
    <row r="134" spans="1:23" x14ac:dyDescent="0.3">
      <c r="A134" s="2"/>
      <c r="B134" s="2"/>
      <c r="C134" s="2"/>
      <c r="D134" s="2"/>
      <c r="E134" s="2"/>
      <c r="F134" s="2"/>
      <c r="G134" s="2"/>
      <c r="H134" s="2"/>
      <c r="I134" s="2"/>
      <c r="J134" s="2"/>
      <c r="K134" s="2"/>
      <c r="L134" s="2"/>
      <c r="M134" s="2"/>
      <c r="N134" s="2"/>
      <c r="O134" s="2"/>
      <c r="P134" s="2"/>
      <c r="Q134" s="2"/>
      <c r="R134" s="2"/>
      <c r="S134" s="2"/>
      <c r="T134" s="2"/>
      <c r="U134" s="2"/>
      <c r="V134" s="2"/>
      <c r="W134" s="2"/>
    </row>
    <row r="135" spans="1:23" x14ac:dyDescent="0.3">
      <c r="A135" s="2"/>
      <c r="B135" s="2"/>
      <c r="C135" s="2"/>
      <c r="D135" s="2"/>
      <c r="E135" s="2"/>
      <c r="F135" s="2"/>
      <c r="G135" s="2"/>
      <c r="H135" s="2"/>
      <c r="I135" s="2"/>
      <c r="J135" s="2"/>
      <c r="K135" s="2"/>
      <c r="L135" s="2"/>
      <c r="M135" s="2"/>
      <c r="N135" s="2"/>
      <c r="O135" s="2"/>
      <c r="P135" s="2"/>
      <c r="Q135" s="2"/>
      <c r="R135" s="2"/>
      <c r="S135" s="2"/>
      <c r="T135" s="2"/>
      <c r="U135" s="2"/>
      <c r="V135" s="2"/>
      <c r="W135" s="2"/>
    </row>
    <row r="136" spans="1:23" x14ac:dyDescent="0.3">
      <c r="A136" s="2"/>
      <c r="B136" s="2"/>
      <c r="C136" s="2"/>
      <c r="D136" s="2"/>
      <c r="E136" s="2"/>
      <c r="F136" s="2"/>
      <c r="G136" s="2"/>
      <c r="H136" s="2"/>
      <c r="I136" s="2"/>
      <c r="J136" s="2"/>
      <c r="K136" s="2"/>
      <c r="L136" s="2"/>
      <c r="M136" s="2"/>
      <c r="N136" s="2"/>
      <c r="O136" s="2"/>
      <c r="P136" s="2"/>
      <c r="Q136" s="2"/>
      <c r="R136" s="2"/>
      <c r="S136" s="2"/>
      <c r="T136" s="2"/>
      <c r="U136" s="2"/>
      <c r="V136" s="2"/>
      <c r="W136" s="2"/>
    </row>
    <row r="137" spans="1:23" x14ac:dyDescent="0.3">
      <c r="A137" s="2"/>
      <c r="B137" s="2"/>
      <c r="C137" s="2"/>
      <c r="D137" s="2"/>
      <c r="E137" s="2"/>
      <c r="F137" s="2"/>
      <c r="G137" s="2"/>
      <c r="H137" s="2"/>
      <c r="I137" s="2"/>
      <c r="J137" s="2"/>
      <c r="K137" s="2"/>
      <c r="L137" s="2"/>
      <c r="M137" s="2"/>
      <c r="N137" s="2"/>
      <c r="O137" s="2"/>
      <c r="P137" s="2"/>
      <c r="Q137" s="2"/>
      <c r="R137" s="2"/>
      <c r="S137" s="2"/>
      <c r="T137" s="2"/>
      <c r="U137" s="2"/>
      <c r="V137" s="2"/>
      <c r="W137" s="2"/>
    </row>
    <row r="138" spans="1:23" x14ac:dyDescent="0.3">
      <c r="A138" s="2"/>
      <c r="B138" s="2"/>
      <c r="C138" s="2"/>
      <c r="D138" s="2"/>
      <c r="E138" s="2"/>
      <c r="F138" s="2"/>
      <c r="G138" s="2"/>
      <c r="H138" s="2"/>
      <c r="I138" s="2"/>
      <c r="J138" s="2"/>
      <c r="K138" s="2"/>
      <c r="L138" s="2"/>
      <c r="M138" s="2"/>
      <c r="N138" s="2"/>
      <c r="O138" s="2"/>
      <c r="P138" s="2"/>
      <c r="Q138" s="2"/>
      <c r="R138" s="2"/>
      <c r="S138" s="2"/>
      <c r="T138" s="2"/>
      <c r="U138" s="2"/>
      <c r="V138" s="2"/>
      <c r="W138" s="2"/>
    </row>
    <row r="139" spans="1:23" x14ac:dyDescent="0.3">
      <c r="A139" s="2"/>
      <c r="B139" s="2"/>
      <c r="C139" s="2"/>
      <c r="D139" s="2"/>
      <c r="E139" s="2"/>
      <c r="F139" s="2"/>
      <c r="G139" s="2"/>
      <c r="H139" s="2"/>
      <c r="I139" s="2"/>
      <c r="J139" s="2"/>
      <c r="K139" s="2"/>
      <c r="L139" s="2"/>
      <c r="M139" s="2"/>
      <c r="N139" s="2"/>
      <c r="O139" s="2"/>
      <c r="P139" s="2"/>
      <c r="Q139" s="2"/>
      <c r="R139" s="2"/>
      <c r="S139" s="2"/>
      <c r="T139" s="2"/>
      <c r="U139" s="2"/>
      <c r="V139" s="2"/>
      <c r="W139" s="2"/>
    </row>
    <row r="140" spans="1:23" x14ac:dyDescent="0.3">
      <c r="A140" s="2"/>
      <c r="B140" s="2"/>
      <c r="C140" s="2"/>
      <c r="D140" s="2"/>
      <c r="E140" s="2"/>
      <c r="F140" s="2"/>
      <c r="G140" s="2"/>
      <c r="H140" s="2"/>
      <c r="I140" s="2"/>
      <c r="J140" s="2"/>
      <c r="K140" s="2"/>
      <c r="L140" s="2"/>
      <c r="M140" s="2"/>
      <c r="N140" s="2"/>
      <c r="O140" s="2"/>
      <c r="P140" s="2"/>
      <c r="Q140" s="2"/>
      <c r="R140" s="2"/>
      <c r="S140" s="2"/>
      <c r="T140" s="2"/>
      <c r="U140" s="2"/>
      <c r="V140" s="2"/>
      <c r="W140"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897A5-28FD-4B97-A038-41713138171C}">
  <dimension ref="B21:L23"/>
  <sheetViews>
    <sheetView workbookViewId="0">
      <selection activeCell="E23" sqref="E23"/>
    </sheetView>
  </sheetViews>
  <sheetFormatPr defaultRowHeight="14.4" x14ac:dyDescent="0.3"/>
  <cols>
    <col min="4" max="4" width="12.6640625" customWidth="1"/>
  </cols>
  <sheetData>
    <row r="21" spans="2:12" ht="15.6" x14ac:dyDescent="0.3">
      <c r="C21" s="6" t="s">
        <v>42</v>
      </c>
    </row>
    <row r="23" spans="2:12" ht="15.6" x14ac:dyDescent="0.3">
      <c r="B23" s="6"/>
      <c r="C23" s="6"/>
      <c r="D23" s="6"/>
      <c r="E23" s="6"/>
      <c r="F23" s="6"/>
      <c r="G23" s="6"/>
      <c r="H23" s="6"/>
      <c r="I23" s="6"/>
      <c r="J23" s="6"/>
      <c r="K23" s="6"/>
      <c r="L23"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44544-1D1C-4EAE-BECC-D6DF47595273}">
  <dimension ref="C23:M23"/>
  <sheetViews>
    <sheetView topLeftCell="C1" workbookViewId="0">
      <selection activeCell="O23" sqref="C23:O23"/>
    </sheetView>
  </sheetViews>
  <sheetFormatPr defaultRowHeight="14.4" x14ac:dyDescent="0.3"/>
  <sheetData>
    <row r="23" spans="3:13" ht="15.6" x14ac:dyDescent="0.3">
      <c r="C23" s="6" t="s">
        <v>40</v>
      </c>
      <c r="D23" s="6"/>
      <c r="E23" s="6"/>
      <c r="F23" s="6"/>
      <c r="G23" s="6"/>
      <c r="H23" s="6"/>
      <c r="I23" s="6"/>
      <c r="J23" s="6"/>
      <c r="K23" s="6"/>
      <c r="L23" s="6"/>
      <c r="M23"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EF361-F222-4AA5-9607-FF7C51523680}">
  <dimension ref="C20:L20"/>
  <sheetViews>
    <sheetView workbookViewId="0"/>
  </sheetViews>
  <sheetFormatPr defaultRowHeight="14.4" x14ac:dyDescent="0.3"/>
  <sheetData>
    <row r="20" spans="3:12" ht="15.6" x14ac:dyDescent="0.3">
      <c r="C20" s="6" t="s">
        <v>37</v>
      </c>
      <c r="D20" s="7"/>
      <c r="E20" s="7"/>
      <c r="F20" s="7"/>
      <c r="G20" s="7"/>
      <c r="H20" s="7"/>
      <c r="I20" s="7"/>
      <c r="J20" s="7"/>
      <c r="K20" s="7"/>
      <c r="L20" s="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6290C6B-0849-49D0-B01D-D1BB5CA6C1E5}">
  <ds:schemaRefs/>
</ds:datastoreItem>
</file>

<file path=customXml/itemProps2.xml><?xml version="1.0" encoding="utf-8"?>
<ds:datastoreItem xmlns:ds="http://schemas.openxmlformats.org/officeDocument/2006/customXml" ds:itemID="{FD06A490-A623-4D92-8766-A0B9A1135D76}">
  <ds:schemaRefs/>
</ds:datastoreItem>
</file>

<file path=customXml/itemProps3.xml><?xml version="1.0" encoding="utf-8"?>
<ds:datastoreItem xmlns:ds="http://schemas.openxmlformats.org/officeDocument/2006/customXml" ds:itemID="{E88580E2-7F5F-4AF8-846B-9574F862C7F8}">
  <ds:schemaRefs/>
</ds:datastoreItem>
</file>

<file path=customXml/itemProps4.xml><?xml version="1.0" encoding="utf-8"?>
<ds:datastoreItem xmlns:ds="http://schemas.openxmlformats.org/officeDocument/2006/customXml" ds:itemID="{4A751C9F-3747-498A-A59C-6E15E81734BC}">
  <ds:schemaRefs/>
</ds:datastoreItem>
</file>

<file path=customXml/itemProps5.xml><?xml version="1.0" encoding="utf-8"?>
<ds:datastoreItem xmlns:ds="http://schemas.openxmlformats.org/officeDocument/2006/customXml" ds:itemID="{5CB3D8D1-DDB6-4CED-B024-384352E4B432}">
  <ds:schemaRefs/>
</ds:datastoreItem>
</file>

<file path=customXml/itemProps6.xml><?xml version="1.0" encoding="utf-8"?>
<ds:datastoreItem xmlns:ds="http://schemas.openxmlformats.org/officeDocument/2006/customXml" ds:itemID="{73728B85-4A0A-4609-9CB7-29F0EE19CAB5}">
  <ds:schemaRefs/>
</ds:datastoreItem>
</file>

<file path=customXml/itemProps7.xml><?xml version="1.0" encoding="utf-8"?>
<ds:datastoreItem xmlns:ds="http://schemas.openxmlformats.org/officeDocument/2006/customXml" ds:itemID="{72A7C418-899F-45F0-8474-F51AC9D77FFE}">
  <ds:schemaRefs/>
</ds:datastoreItem>
</file>

<file path=customXml/itemProps8.xml><?xml version="1.0" encoding="utf-8"?>
<ds:datastoreItem xmlns:ds="http://schemas.openxmlformats.org/officeDocument/2006/customXml" ds:itemID="{D3753F9F-4E0A-42E2-82B4-C887ECBF5FD5}">
  <ds:schemaRefs/>
</ds:datastoreItem>
</file>

<file path=customXml/itemProps9.xml><?xml version="1.0" encoding="utf-8"?>
<ds:datastoreItem xmlns:ds="http://schemas.openxmlformats.org/officeDocument/2006/customXml" ds:itemID="{F3181D84-377A-4FE1-B2A9-9C333948EF0F}">
  <ds:schemaRefs/>
</ds:datastoreItem>
</file>

<file path=customXml/itemProps10.xml><?xml version="1.0" encoding="utf-8"?>
<ds:datastoreItem xmlns:ds="http://schemas.openxmlformats.org/officeDocument/2006/customXml" ds:itemID="{484BA106-E28C-4345-8924-4DD6DA15A45C}">
  <ds:schemaRefs>
    <ds:schemaRef ds:uri="http://schemas.microsoft.com/DataMashup"/>
  </ds:schemaRefs>
</ds:datastoreItem>
</file>

<file path=customXml/itemProps11.xml><?xml version="1.0" encoding="utf-8"?>
<ds:datastoreItem xmlns:ds="http://schemas.openxmlformats.org/officeDocument/2006/customXml" ds:itemID="{4480B213-5E6B-43C6-8640-D19233A5138B}">
  <ds:schemaRefs/>
</ds:datastoreItem>
</file>

<file path=customXml/itemProps12.xml><?xml version="1.0" encoding="utf-8"?>
<ds:datastoreItem xmlns:ds="http://schemas.openxmlformats.org/officeDocument/2006/customXml" ds:itemID="{FBD80159-D846-43AD-BA72-8EC88C95ED55}">
  <ds:schemaRefs/>
</ds:datastoreItem>
</file>

<file path=customXml/itemProps13.xml><?xml version="1.0" encoding="utf-8"?>
<ds:datastoreItem xmlns:ds="http://schemas.openxmlformats.org/officeDocument/2006/customXml" ds:itemID="{0CF45AA4-9F6B-4A60-9F93-33D1B7478E1A}">
  <ds:schemaRefs/>
</ds:datastoreItem>
</file>

<file path=customXml/itemProps14.xml><?xml version="1.0" encoding="utf-8"?>
<ds:datastoreItem xmlns:ds="http://schemas.openxmlformats.org/officeDocument/2006/customXml" ds:itemID="{46EC0C8B-BC19-4296-B4DA-237308E65996}">
  <ds:schemaRefs/>
</ds:datastoreItem>
</file>

<file path=customXml/itemProps15.xml><?xml version="1.0" encoding="utf-8"?>
<ds:datastoreItem xmlns:ds="http://schemas.openxmlformats.org/officeDocument/2006/customXml" ds:itemID="{8C720316-33A3-445A-B55B-FAD72C1B1D64}">
  <ds:schemaRefs/>
</ds:datastoreItem>
</file>

<file path=customXml/itemProps16.xml><?xml version="1.0" encoding="utf-8"?>
<ds:datastoreItem xmlns:ds="http://schemas.openxmlformats.org/officeDocument/2006/customXml" ds:itemID="{9E7D5FD7-F3DC-429C-AD53-3DC9DC35E21E}">
  <ds:schemaRefs/>
</ds:datastoreItem>
</file>

<file path=customXml/itemProps17.xml><?xml version="1.0" encoding="utf-8"?>
<ds:datastoreItem xmlns:ds="http://schemas.openxmlformats.org/officeDocument/2006/customXml" ds:itemID="{0DB0151D-4D5E-4065-9EA0-243319108B57}">
  <ds:schemaRefs/>
</ds:datastoreItem>
</file>

<file path=customXml/itemProps18.xml><?xml version="1.0" encoding="utf-8"?>
<ds:datastoreItem xmlns:ds="http://schemas.openxmlformats.org/officeDocument/2006/customXml" ds:itemID="{A150BDE6-3297-4DBB-9FBF-07C36BC2056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PivotReport</vt:lpstr>
      <vt:lpstr>Dashboard</vt:lpstr>
      <vt:lpstr>Average Patient Satisfaction sc</vt:lpstr>
      <vt:lpstr>Average WaitTime Daily Trend</vt:lpstr>
      <vt:lpstr>Daily ER No.of Patients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SS20 IF020</dc:creator>
  <cp:lastModifiedBy>SS20 IF020</cp:lastModifiedBy>
  <dcterms:created xsi:type="dcterms:W3CDTF">2026-01-13T12:40:58Z</dcterms:created>
  <dcterms:modified xsi:type="dcterms:W3CDTF">2026-01-14T11:50:18Z</dcterms:modified>
</cp:coreProperties>
</file>